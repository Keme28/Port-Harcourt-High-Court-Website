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-120" yWindow="-120" windowWidth="20730" windowHeight="11040" tabRatio="600" firstSheet="0" activeTab="0" autoFilterDateGrouping="1"/>
  </bookViews>
  <sheets>
    <sheet name="HOME PAGE" sheetId="1" state="visible" r:id="rId1"/>
    <sheet name="COUNSEL DIRECTORY" sheetId="2" state="visible" r:id="rId2"/>
    <sheet name="QUARTER REPORT" sheetId="3" state="visible" r:id="rId3"/>
    <sheet name="Sheet2" sheetId="4" state="hidden" r:id="rId4"/>
    <sheet name="AUTO CAUSE LIST" sheetId="5" state="visible" r:id="rId5"/>
    <sheet name="INSIGHTS" sheetId="6" state="visible" r:id="rId6"/>
    <sheet name="BACK OFFICE" sheetId="7" state="hidden" r:id="rId7"/>
    <sheet name="Sheet1" sheetId="8" state="hidden" r:id="rId8"/>
    <sheet name="CASE REGISTER" sheetId="9" state="visible" r:id="rId9"/>
    <sheet name="HEARING LOG" sheetId="10" state="visible" r:id="rId10"/>
    <sheet name="LISTS" sheetId="11" state="visible" r:id="rId11"/>
  </sheets>
  <definedNames>
    <definedName name="ACTIONS">LISTS!$AO$22:$AO$39</definedName>
    <definedName name="ACTIVE">LISTS!$AO$22:$AO$38</definedName>
    <definedName name="APPEAL">LISTS!$O$8:$O$9</definedName>
    <definedName name="ARBITRATION">LISTS!$K$8:$K$9</definedName>
    <definedName name="BAIL">LISTS!$M$20:$M$21</definedName>
    <definedName name="CASE_TYPE">LISTS!$C$8:$C$14</definedName>
    <definedName name="CASETYPE">LISTS!$C$8:$C$14</definedName>
    <definedName name="CIVIL">LISTS!#REF!</definedName>
    <definedName name="CIVIL_SUIT">LISTS!#REF!</definedName>
    <definedName name="CLAIMS">LISTS!$E$8:$E$17</definedName>
    <definedName name="CONCLUDED">LISTS!$AQ$22:$AQ$25</definedName>
    <definedName name="CONTRACT">LISTS!$E$20:$E$22</definedName>
    <definedName name="COURT">LISTS!$A$8:$A$15</definedName>
    <definedName name="CRIMINAL">LISTS!$G$8:$G$10</definedName>
    <definedName name="CRIMINAL_MATTER">LISTS!$G$8:$G$9</definedName>
    <definedName name="CURRENT_CASE_AGE">LISTS!$E$53:$E$55</definedName>
    <definedName name="DIVISIONS">LISTS!$E$59:$E$71</definedName>
    <definedName name="FELONY">LISTS!$AE$29:$AE$53</definedName>
    <definedName name="FHR">LISTS!$I$8:$I$10</definedName>
    <definedName name="INSIGHTS">LISTS!$A$38:$A$43</definedName>
    <definedName name="INTERPRETATION">LISTS!$AC$15:$AC$17</definedName>
    <definedName name="JUDGES2">LISTS!$C$47:$C$93</definedName>
    <definedName name="JUDGMENTS">LISTS!$C$38:$C$39</definedName>
    <definedName name="LAND">LISTS!$C$20:$C$23</definedName>
    <definedName name="LEAVE">LISTS!$AC$44</definedName>
    <definedName name="MAGISTRATE_COURT">LISTS!$O$12:$O$13</definedName>
    <definedName name="MATRIMONIAL">LISTS!$I$20:$I$23</definedName>
    <definedName name="MISDEMEANOR">LISTS!$AC$29:$AC$38</definedName>
    <definedName name="MOTION">LISTS!$M$8:$M$9</definedName>
    <definedName name="NATURE">LISTS!$C$27:$C$35</definedName>
    <definedName name="NATURE_OF_CASE">LISTS!$C$8:$C$13</definedName>
    <definedName name="ORIGINATING_SUMMONS">LISTS!$AC$8:$AC$9</definedName>
    <definedName name="OTHERS">LISTS!$Q$8:$Q$10</definedName>
    <definedName name="OUTCOME">LISTS!$AA$18:$AA$38</definedName>
    <definedName name="PETITION">LISTS!$K$8</definedName>
    <definedName name="PORT_HARCOURT">LISTS!$E$60:$E$71</definedName>
    <definedName name="POSSESSION">LISTS!$AC$12</definedName>
    <definedName name="PURPOSE">LISTS!$G$29:$G$44</definedName>
    <definedName name="QUARTER">LISTS!$E$47:$E$50</definedName>
    <definedName name="QUARTERLIES">LISTS!$C$38:$C$41</definedName>
    <definedName name="REASON">LISTS!$AA$18:$AA$38</definedName>
    <definedName name="RULING">LISTS!$W$27:$W$28</definedName>
    <definedName name="Slicer_CASE_TYPE">#N/A</definedName>
    <definedName name="Slicer_CURRENT_AGE_OF_CASE">#N/A</definedName>
    <definedName name="Slicer_PARTICULARS">#N/A</definedName>
    <definedName name="Slicer_STATUS">#N/A</definedName>
    <definedName name="Slicer_SUIT_NUMBER">#N/A</definedName>
    <definedName name="Slicer_SUIT_NUMBER1">#N/A</definedName>
    <definedName name="STATUS">LISTS!$AO$15:$AO$17</definedName>
    <definedName name="TORT">LISTS!$G$20:$G$26</definedName>
    <definedName name="UNDEFENDED_LIST">LISTS!$Z$8</definedName>
    <definedName name="WRIT">LISTS!$E$8:$E$12</definedName>
    <definedName name="YEAR">LISTS!$E$47:$E$67</definedName>
    <definedName name="_xlnm._FilterDatabase" localSheetId="1" hidden="1">'COUNSEL DIRECTORY'!$A$15:$D$16</definedName>
    <definedName name="_xlnm.Print_Area" localSheetId="2">'QUARTER REPORT'!$C$14:$P$139</definedName>
    <definedName name="_xlnm.Print_Area" localSheetId="4">'AUTO CAUSE LIST'!$C$2:$K$45</definedName>
    <definedName name="_xlnm.Print_Titles" localSheetId="5">'INSIGHTS'!$14:$14</definedName>
    <definedName name="_xlnm.Print_Area" localSheetId="5">'INSIGHTS'!$B$13:$AA$130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[$]dddd\,\ d\ mmmm\ yyyy;@"/>
    <numFmt numFmtId="166" formatCode="[$]dddd\,\ mmmm\ d\,\ yyyy;@"/>
    <numFmt numFmtId="167" formatCode="yyyy\-mm\-dd;@"/>
    <numFmt numFmtId="168" formatCode="0.0"/>
  </numFmts>
  <fonts count="55"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Aharoni"/>
      <charset val="177"/>
      <b val="1"/>
      <color theme="1"/>
      <sz val="11"/>
    </font>
    <font>
      <name val="Aptos Black"/>
      <family val="2"/>
      <b val="1"/>
      <color theme="1"/>
      <sz val="11"/>
      <u val="double"/>
    </font>
    <font>
      <name val="Garamond"/>
      <family val="1"/>
      <b val="1"/>
      <color theme="0"/>
      <sz val="15"/>
    </font>
    <font>
      <name val="Garamond"/>
      <family val="1"/>
      <color theme="10"/>
      <sz val="12"/>
      <u val="single"/>
    </font>
    <font>
      <name val="Garamond"/>
      <family val="1"/>
      <color theme="10"/>
      <sz val="11"/>
      <u val="single"/>
    </font>
    <font>
      <name val="Calibri"/>
      <family val="2"/>
      <b val="1"/>
      <color theme="0"/>
      <sz val="13"/>
      <scheme val="minor"/>
    </font>
    <font>
      <name val="Calibri"/>
      <family val="2"/>
      <sz val="11"/>
      <scheme val="minor"/>
    </font>
    <font>
      <name val="Aharoni"/>
      <charset val="177"/>
      <color theme="1"/>
      <sz val="14"/>
    </font>
    <font>
      <name val="Aharoni"/>
      <charset val="177"/>
      <color theme="1"/>
      <sz val="18"/>
    </font>
    <font>
      <name val="Aharoni"/>
      <charset val="177"/>
      <color theme="1"/>
      <sz val="16"/>
    </font>
    <font>
      <name val="Calibri"/>
      <family val="2"/>
      <sz val="8"/>
      <scheme val="minor"/>
    </font>
    <font>
      <name val="Aharoni"/>
      <charset val="177"/>
      <b val="1"/>
      <color theme="0"/>
      <sz val="11"/>
    </font>
    <font>
      <name val="Aharoni"/>
      <charset val="177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rgb="FF1F2A44"/>
      <sz val="18"/>
    </font>
    <font>
      <name val="Aharoni"/>
      <charset val="177"/>
      <color theme="1"/>
      <sz val="12"/>
    </font>
    <font>
      <name val="Aptos Black"/>
      <family val="2"/>
      <color theme="1"/>
      <sz val="16"/>
    </font>
    <font>
      <name val="Aptos Black"/>
      <family val="2"/>
      <color theme="1"/>
      <sz val="14"/>
    </font>
    <font>
      <name val="Calibri"/>
      <family val="2"/>
      <color theme="1"/>
      <sz val="14"/>
      <scheme val="minor"/>
    </font>
    <font>
      <name val="Aharoni"/>
      <charset val="177"/>
      <b val="1"/>
      <color theme="0"/>
      <sz val="14"/>
    </font>
    <font>
      <name val="Aharoni"/>
      <charset val="177"/>
      <color theme="0"/>
      <sz val="14"/>
    </font>
    <font>
      <name val="Calibri"/>
      <family val="2"/>
      <b val="1"/>
      <color theme="3"/>
      <sz val="14"/>
      <scheme val="minor"/>
    </font>
    <font>
      <name val="Aptos Black"/>
      <family val="2"/>
      <b val="1"/>
      <color theme="0"/>
      <sz val="14"/>
    </font>
    <font>
      <name val="Aptos Black"/>
      <family val="2"/>
      <color theme="1"/>
      <sz val="12"/>
    </font>
    <font>
      <name val="Aptos Black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color rgb="FF92D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theme="1"/>
      <sz val="14"/>
      <scheme val="minor"/>
    </font>
    <font>
      <name val="Century Gothic"/>
      <family val="2"/>
      <b val="1"/>
      <color rgb="FF23324A"/>
      <sz val="14"/>
    </font>
    <font>
      <name val="Calibri"/>
      <family val="2"/>
      <color rgb="FF23324A"/>
      <sz val="14"/>
      <scheme val="minor"/>
    </font>
    <font>
      <name val="Century Gothic"/>
      <family val="2"/>
      <b val="1"/>
      <color theme="1"/>
      <sz val="14"/>
    </font>
    <font>
      <name val="Wingdings"/>
      <charset val="2"/>
      <color theme="1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3"/>
      <scheme val="minor"/>
    </font>
    <font>
      <name val="Aharoni"/>
      <charset val="177"/>
      <b val="1"/>
      <sz val="14"/>
    </font>
    <font>
      <name val="Aharoni"/>
      <charset val="177"/>
      <b val="1"/>
      <color theme="1"/>
      <sz val="14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sz val="13"/>
      <scheme val="minor"/>
    </font>
    <font>
      <name val="Aptos Black"/>
      <family val="2"/>
      <b val="1"/>
      <color theme="1"/>
      <sz val="14"/>
    </font>
    <font>
      <name val="Calibri"/>
      <family val="2"/>
      <color theme="1"/>
      <sz val="12"/>
      <scheme val="minor"/>
    </font>
  </fonts>
  <fills count="4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8E6900"/>
        <bgColor indexed="64"/>
      </patternFill>
    </fill>
    <fill>
      <patternFill patternType="solid">
        <fgColor rgb="FFAE94AF"/>
        <bgColor indexed="64"/>
      </patternFill>
    </fill>
    <fill>
      <patternFill patternType="solid">
        <fgColor rgb="FFE2A700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2060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rgb="FF00091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ck">
        <color theme="4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3" fillId="0" borderId="0"/>
    <xf numFmtId="0" fontId="1" fillId="0" borderId="0"/>
    <xf numFmtId="0" fontId="4" fillId="0" borderId="1"/>
    <xf numFmtId="0" fontId="5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6" fillId="0" borderId="2"/>
    <xf numFmtId="0" fontId="7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7" fillId="16" borderId="0"/>
    <xf numFmtId="0" fontId="8" fillId="0" borderId="0"/>
    <xf numFmtId="0" fontId="14" fillId="19" borderId="1"/>
    <xf numFmtId="0" fontId="14" fillId="20" borderId="1"/>
    <xf numFmtId="0" fontId="7" fillId="21" borderId="0"/>
    <xf numFmtId="0" fontId="3" fillId="22" borderId="0"/>
    <xf numFmtId="0" fontId="23" fillId="0" borderId="7"/>
    <xf numFmtId="0" fontId="7" fillId="23" borderId="0"/>
    <xf numFmtId="0" fontId="7" fillId="24" borderId="0"/>
    <xf numFmtId="0" fontId="3" fillId="25" borderId="0"/>
    <xf numFmtId="0" fontId="7" fillId="26" borderId="0"/>
    <xf numFmtId="0" fontId="3" fillId="27" borderId="0"/>
    <xf numFmtId="0" fontId="3" fillId="28" borderId="0"/>
    <xf numFmtId="0" fontId="3" fillId="29" borderId="0"/>
    <xf numFmtId="9" fontId="3" fillId="0" borderId="0"/>
    <xf numFmtId="0" fontId="3" fillId="30" borderId="0"/>
    <xf numFmtId="0" fontId="3" fillId="31" borderId="0"/>
    <xf numFmtId="0" fontId="3" fillId="32" borderId="0"/>
    <xf numFmtId="0" fontId="3" fillId="33" borderId="0"/>
    <xf numFmtId="0" fontId="49" fillId="34" borderId="32"/>
    <xf numFmtId="0" fontId="3" fillId="35" borderId="0"/>
    <xf numFmtId="0" fontId="3" fillId="36" borderId="0"/>
    <xf numFmtId="0" fontId="3" fillId="37" borderId="0"/>
    <xf numFmtId="0" fontId="3" fillId="38" borderId="0"/>
    <xf numFmtId="0" fontId="3" fillId="39" borderId="0"/>
  </cellStyleXfs>
  <cellXfs count="301">
    <xf numFmtId="0" fontId="0" fillId="0" borderId="0" pivotButton="0" quotePrefix="0" xfId="0"/>
    <xf numFmtId="0" fontId="3" fillId="4" borderId="0" pivotButton="0" quotePrefix="0" xfId="5"/>
    <xf numFmtId="0" fontId="3" fillId="12" borderId="0" pivotButton="0" quotePrefix="0" xfId="10"/>
    <xf numFmtId="0" fontId="7" fillId="11" borderId="0" pivotButton="0" quotePrefix="0" xfId="9"/>
    <xf numFmtId="0" fontId="7" fillId="16" borderId="0" pivotButton="0" quotePrefix="0" xfId="14"/>
    <xf numFmtId="14" fontId="0" fillId="0" borderId="0" pivotButton="0" quotePrefix="0" xfId="0"/>
    <xf numFmtId="0" fontId="4" fillId="0" borderId="1" pivotButton="0" quotePrefix="0" xfId="2"/>
    <xf numFmtId="0" fontId="11" fillId="17" borderId="2" applyAlignment="1" pivotButton="0" quotePrefix="0" xfId="0">
      <alignment vertical="top"/>
    </xf>
    <xf numFmtId="0" fontId="12" fillId="18" borderId="3" applyAlignment="1" pivotButton="0" quotePrefix="0" xfId="0">
      <alignment vertical="top"/>
    </xf>
    <xf numFmtId="0" fontId="12" fillId="0" borderId="3" applyAlignment="1" pivotButton="0" quotePrefix="0" xfId="0">
      <alignment horizontal="left" vertical="top"/>
    </xf>
    <xf numFmtId="0" fontId="12" fillId="0" borderId="3" applyAlignment="1" pivotButton="0" quotePrefix="0" xfId="0">
      <alignment vertical="top"/>
    </xf>
    <xf numFmtId="0" fontId="12" fillId="18" borderId="3" applyAlignment="1" pivotButton="0" quotePrefix="0" xfId="15">
      <alignment vertical="top"/>
    </xf>
    <xf numFmtId="0" fontId="12" fillId="0" borderId="3" applyAlignment="1" pivotButton="0" quotePrefix="0" xfId="15">
      <alignment vertical="top"/>
    </xf>
    <xf numFmtId="0" fontId="13" fillId="18" borderId="3" applyAlignment="1" pivotButton="0" quotePrefix="0" xfId="15">
      <alignment vertical="top"/>
    </xf>
    <xf numFmtId="0" fontId="6" fillId="0" borderId="2" pivotButton="0" quotePrefix="0" xfId="8"/>
    <xf numFmtId="0" fontId="15" fillId="0" borderId="0" pivotButton="0" quotePrefix="0" xfId="0"/>
    <xf numFmtId="0" fontId="14" fillId="19" borderId="1" pivotButton="0" quotePrefix="0" xfId="16"/>
    <xf numFmtId="0" fontId="0" fillId="0" borderId="4" pivotButton="0" quotePrefix="0" xfId="0"/>
    <xf numFmtId="0" fontId="0" fillId="0" borderId="6" pivotButton="0" quotePrefix="0" xfId="0"/>
    <xf numFmtId="0" fontId="0" fillId="18" borderId="4" pivotButton="0" quotePrefix="0" xfId="0"/>
    <xf numFmtId="0" fontId="0" fillId="18" borderId="6" pivotButton="0" quotePrefix="0" xfId="0"/>
    <xf numFmtId="0" fontId="20" fillId="17" borderId="9" applyAlignment="1" pivotButton="0" quotePrefix="0" xfId="0">
      <alignment horizontal="center"/>
    </xf>
    <xf numFmtId="0" fontId="20" fillId="21" borderId="9" pivotButton="0" quotePrefix="0" xfId="18"/>
    <xf numFmtId="0" fontId="20" fillId="19" borderId="9" applyAlignment="1" pivotButton="0" quotePrefix="0" xfId="16">
      <alignment vertical="center"/>
    </xf>
    <xf numFmtId="0" fontId="20" fillId="19" borderId="10" pivotButton="0" quotePrefix="0" xfId="16"/>
    <xf numFmtId="0" fontId="20" fillId="22" borderId="10" pivotButton="0" quotePrefix="0" xfId="19"/>
    <xf numFmtId="0" fontId="20" fillId="22" borderId="9" pivotButton="0" quotePrefix="0" xfId="19"/>
    <xf numFmtId="0" fontId="2" fillId="11" borderId="9" pivotButton="0" quotePrefix="0" xfId="9"/>
    <xf numFmtId="0" fontId="22" fillId="14" borderId="9" pivotButton="0" quotePrefix="0" xfId="12"/>
    <xf numFmtId="0" fontId="22" fillId="13" borderId="9" pivotButton="0" quotePrefix="0" xfId="11"/>
    <xf numFmtId="0" fontId="22" fillId="24" borderId="0" pivotButton="0" quotePrefix="0" xfId="22"/>
    <xf numFmtId="0" fontId="23" fillId="0" borderId="7" pivotButton="0" quotePrefix="0" xfId="20"/>
    <xf numFmtId="0" fontId="24" fillId="0" borderId="0" pivotButton="0" quotePrefix="0" xfId="0"/>
    <xf numFmtId="0" fontId="0" fillId="0" borderId="0" pivotButton="0" quotePrefix="1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22" fillId="12" borderId="9" pivotButton="0" quotePrefix="0" xfId="10"/>
    <xf numFmtId="0" fontId="24" fillId="15" borderId="8" pivotButton="0" quotePrefix="0" xfId="13"/>
    <xf numFmtId="0" fontId="24" fillId="18" borderId="18" pivotButton="0" quotePrefix="0" xfId="0"/>
    <xf numFmtId="0" fontId="24" fillId="18" borderId="4" pivotButton="0" quotePrefix="0" xfId="0"/>
    <xf numFmtId="0" fontId="0" fillId="18" borderId="5" pivotButton="0" quotePrefix="0" xfId="0"/>
    <xf numFmtId="0" fontId="0" fillId="0" borderId="5" pivotButton="0" quotePrefix="0" xfId="0"/>
    <xf numFmtId="0" fontId="2" fillId="23" borderId="0" pivotButton="0" quotePrefix="0" xfId="21"/>
    <xf numFmtId="0" fontId="15" fillId="0" borderId="0" pivotButton="0" quotePrefix="1" xfId="0"/>
    <xf numFmtId="0" fontId="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15" fillId="18" borderId="21" pivotButton="0" quotePrefix="1" xfId="0"/>
    <xf numFmtId="0" fontId="15" fillId="18" borderId="3" pivotButton="0" quotePrefix="1" xfId="0"/>
    <xf numFmtId="0" fontId="15" fillId="18" borderId="20" pivotButton="0" quotePrefix="1" xfId="0"/>
    <xf numFmtId="0" fontId="24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0" fillId="12" borderId="0" applyProtection="1" pivotButton="0" quotePrefix="0" xfId="10">
      <protection locked="1" hidden="1"/>
    </xf>
    <xf numFmtId="0" fontId="0" fillId="7" borderId="0" applyProtection="1" pivotButton="0" quotePrefix="0" xfId="0">
      <protection locked="1" hidden="1"/>
    </xf>
    <xf numFmtId="164" fontId="0" fillId="0" borderId="0" applyProtection="1" pivotButton="0" quotePrefix="0" xfId="0">
      <protection locked="1" hidden="1"/>
    </xf>
    <xf numFmtId="0" fontId="7" fillId="21" borderId="0" applyProtection="1" pivotButton="0" quotePrefix="0" xfId="18">
      <protection locked="1" hidden="1"/>
    </xf>
    <xf numFmtId="0" fontId="29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27" fillId="0" borderId="22" applyProtection="1" pivotButton="0" quotePrefix="0" xfId="0">
      <protection locked="0" hidden="0"/>
    </xf>
    <xf numFmtId="0" fontId="14" fillId="20" borderId="1" applyAlignment="1" applyProtection="1" pivotButton="0" quotePrefix="0" xfId="17">
      <alignment horizontal="center"/>
      <protection locked="0" hidden="0"/>
    </xf>
    <xf numFmtId="2" fontId="0" fillId="0" borderId="0" applyProtection="1" pivotButton="0" quotePrefix="0" xfId="0">
      <protection locked="1" hidden="1"/>
    </xf>
    <xf numFmtId="0" fontId="3" fillId="7" borderId="0" applyProtection="1" pivotButton="0" quotePrefix="0" xfId="5">
      <protection locked="1" hidden="1"/>
    </xf>
    <xf numFmtId="2" fontId="3" fillId="29" borderId="0" applyProtection="1" pivotButton="0" quotePrefix="0" xfId="27">
      <protection locked="1" hidden="1"/>
    </xf>
    <xf numFmtId="0" fontId="3" fillId="15" borderId="0" applyProtection="1" pivotButton="0" quotePrefix="0" xfId="13">
      <protection locked="1" hidden="1"/>
    </xf>
    <xf numFmtId="0" fontId="3" fillId="12" borderId="0" applyProtection="1" pivotButton="0" quotePrefix="0" xfId="10">
      <protection locked="1" hidden="1"/>
    </xf>
    <xf numFmtId="0" fontId="3" fillId="28" borderId="0" applyProtection="1" pivotButton="0" quotePrefix="0" xfId="26">
      <protection locked="1" hidden="1"/>
    </xf>
    <xf numFmtId="0" fontId="9" fillId="13" borderId="0" applyProtection="1" pivotButton="0" quotePrefix="0" xfId="11">
      <protection locked="1" hidden="1"/>
    </xf>
    <xf numFmtId="0" fontId="3" fillId="27" borderId="0" applyProtection="1" pivotButton="0" quotePrefix="0" xfId="25">
      <protection locked="1" hidden="1"/>
    </xf>
    <xf numFmtId="0" fontId="7" fillId="11" borderId="0" applyProtection="1" pivotButton="0" quotePrefix="0" xfId="9">
      <protection locked="1" hidden="1"/>
    </xf>
    <xf numFmtId="0" fontId="3" fillId="14" borderId="0" applyProtection="1" pivotButton="0" quotePrefix="0" xfId="12">
      <protection locked="1" hidden="1"/>
    </xf>
    <xf numFmtId="0" fontId="3" fillId="7" borderId="0" applyProtection="1" pivotButton="0" quotePrefix="0" xfId="6">
      <protection locked="1" hidden="1"/>
    </xf>
    <xf numFmtId="0" fontId="7" fillId="16" borderId="0" applyProtection="1" pivotButton="0" quotePrefix="0" xfId="14">
      <protection locked="1" hidden="1"/>
    </xf>
    <xf numFmtId="0" fontId="3" fillId="7" borderId="0" applyProtection="1" pivotButton="0" quotePrefix="0" xfId="7">
      <protection locked="1" hidden="1"/>
    </xf>
    <xf numFmtId="0" fontId="7" fillId="26" borderId="0" applyProtection="1" pivotButton="0" quotePrefix="0" xfId="24">
      <protection locked="1" hidden="1"/>
    </xf>
    <xf numFmtId="0" fontId="3" fillId="25" borderId="0" applyProtection="1" pivotButton="0" quotePrefix="0" xfId="23">
      <protection locked="1" hidden="1"/>
    </xf>
    <xf numFmtId="0" fontId="3" fillId="7" borderId="0" applyProtection="1" pivotButton="0" quotePrefix="0" xfId="4">
      <protection locked="1" hidden="1"/>
    </xf>
    <xf numFmtId="0" fontId="3" fillId="13" borderId="0" applyProtection="1" pivotButton="0" quotePrefix="0" xfId="11">
      <protection locked="1" hidden="1"/>
    </xf>
    <xf numFmtId="0" fontId="5" fillId="7" borderId="0" applyProtection="1" pivotButton="0" quotePrefix="0" xfId="3">
      <protection locked="1" hidden="1"/>
    </xf>
    <xf numFmtId="0" fontId="3" fillId="29" borderId="0" applyProtection="1" pivotButton="0" quotePrefix="0" xfId="27">
      <protection locked="1" hidden="1"/>
    </xf>
    <xf numFmtId="0" fontId="14" fillId="19" borderId="1" applyProtection="1" pivotButton="0" quotePrefix="0" xfId="16">
      <protection locked="1" hidden="1"/>
    </xf>
    <xf numFmtId="2" fontId="14" fillId="19" borderId="1" applyProtection="1" pivotButton="0" quotePrefix="0" xfId="16">
      <protection locked="1" hidden="1"/>
    </xf>
    <xf numFmtId="0" fontId="0" fillId="7" borderId="0" applyProtection="1" pivotButton="0" quotePrefix="0" xfId="0">
      <protection locked="0" hidden="1"/>
    </xf>
    <xf numFmtId="0" fontId="0" fillId="0" borderId="0" applyAlignment="1" applyProtection="1" pivotButton="0" quotePrefix="0" xfId="0">
      <alignment vertical="top"/>
      <protection locked="1" hidden="1"/>
    </xf>
    <xf numFmtId="0" fontId="0" fillId="8" borderId="0" applyAlignment="1" applyProtection="1" pivotButton="0" quotePrefix="0" xfId="0">
      <alignment vertical="top"/>
      <protection locked="1" hidden="1"/>
    </xf>
    <xf numFmtId="0" fontId="17" fillId="0" borderId="0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0" fillId="8" borderId="0" applyProtection="1" pivotButton="0" quotePrefix="0" xfId="0">
      <protection locked="1" hidden="1"/>
    </xf>
    <xf numFmtId="0" fontId="25" fillId="9" borderId="5" applyProtection="1" pivotButton="0" quotePrefix="0" xfId="1">
      <protection locked="1" hidden="1"/>
    </xf>
    <xf numFmtId="0" fontId="25" fillId="9" borderId="19" applyAlignment="1" applyProtection="1" pivotButton="0" quotePrefix="0" xfId="1">
      <alignment horizontal="center"/>
      <protection locked="1" hidden="1"/>
    </xf>
    <xf numFmtId="0" fontId="25" fillId="9" borderId="19" applyProtection="1" pivotButton="0" quotePrefix="0" xfId="1">
      <protection locked="1" hidden="1"/>
    </xf>
    <xf numFmtId="0" fontId="0" fillId="0" borderId="22" pivotButton="0" quotePrefix="0" xfId="0"/>
    <xf numFmtId="164" fontId="0" fillId="0" borderId="22" applyProtection="1" pivotButton="0" quotePrefix="0" xfId="0">
      <protection locked="0" hidden="0"/>
    </xf>
    <xf numFmtId="0" fontId="39" fillId="0" borderId="0" applyProtection="1" pivotButton="0" quotePrefix="0" xfId="0">
      <protection locked="1" hidden="1"/>
    </xf>
    <xf numFmtId="0" fontId="39" fillId="0" borderId="27" applyProtection="1" pivotButton="0" quotePrefix="0" xfId="0">
      <protection locked="0" hidden="0"/>
    </xf>
    <xf numFmtId="0" fontId="29" fillId="7" borderId="0" applyProtection="1" pivotButton="0" quotePrefix="0" xfId="0">
      <protection locked="1" hidden="1"/>
    </xf>
    <xf numFmtId="0" fontId="29" fillId="7" borderId="0" applyProtection="1" pivotButton="0" quotePrefix="0" xfId="0">
      <protection locked="0" hidden="0"/>
    </xf>
    <xf numFmtId="164" fontId="29" fillId="7" borderId="0" applyProtection="1" pivotButton="0" quotePrefix="0" xfId="0">
      <protection locked="0" hidden="0"/>
    </xf>
    <xf numFmtId="2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0" fontId="29" fillId="0" borderId="0" applyAlignment="1" applyProtection="1" pivotButton="0" quotePrefix="0" xfId="0">
      <alignment vertical="top"/>
      <protection locked="1" hidden="1"/>
    </xf>
    <xf numFmtId="0" fontId="29" fillId="0" borderId="0" applyAlignment="1" applyProtection="1" pivotButton="0" quotePrefix="0" xfId="0">
      <alignment wrapText="1"/>
      <protection locked="1" hidden="1"/>
    </xf>
    <xf numFmtId="0" fontId="43" fillId="0" borderId="0" applyProtection="1" pivotButton="0" quotePrefix="0" xfId="0">
      <protection locked="1" hidden="1"/>
    </xf>
    <xf numFmtId="0" fontId="0" fillId="18" borderId="8" pivotButton="0" quotePrefix="0" xfId="0"/>
    <xf numFmtId="0" fontId="0" fillId="0" borderId="8" pivotButton="0" quotePrefix="0" xfId="0"/>
    <xf numFmtId="0" fontId="0" fillId="18" borderId="9" pivotButton="0" quotePrefix="0" xfId="0"/>
    <xf numFmtId="0" fontId="0" fillId="0" borderId="9" pivotButton="0" quotePrefix="0" xfId="0"/>
    <xf numFmtId="0" fontId="2" fillId="16" borderId="9" pivotButton="0" quotePrefix="0" xfId="14"/>
    <xf numFmtId="0" fontId="47" fillId="0" borderId="0" applyProtection="1" pivotButton="0" quotePrefix="0" xfId="0">
      <protection locked="0" hidden="0"/>
    </xf>
    <xf numFmtId="0" fontId="24" fillId="0" borderId="0" pivotButton="0" quotePrefix="0" xfId="15"/>
    <xf numFmtId="49" fontId="0" fillId="0" borderId="0" applyProtection="1" pivotButton="0" quotePrefix="0" xfId="0">
      <protection locked="1" hidden="1"/>
    </xf>
    <xf numFmtId="49" fontId="3" fillId="7" borderId="0" applyProtection="1" pivotButton="0" quotePrefix="0" xfId="5">
      <protection locked="1" hidden="1"/>
    </xf>
    <xf numFmtId="49" fontId="3" fillId="7" borderId="0" applyProtection="1" pivotButton="0" quotePrefix="0" xfId="6">
      <protection locked="1" hidden="1"/>
    </xf>
    <xf numFmtId="49" fontId="3" fillId="7" borderId="0" applyProtection="1" pivotButton="0" quotePrefix="0" xfId="7">
      <protection locked="1" hidden="1"/>
    </xf>
    <xf numFmtId="49" fontId="3" fillId="7" borderId="0" applyProtection="1" pivotButton="0" quotePrefix="0" xfId="4">
      <protection locked="1" hidden="1"/>
    </xf>
    <xf numFmtId="49" fontId="0" fillId="7" borderId="0" applyProtection="1" pivotButton="0" quotePrefix="0" xfId="0">
      <protection locked="1" hidden="1"/>
    </xf>
    <xf numFmtId="49" fontId="14" fillId="19" borderId="1" applyProtection="1" pivotButton="0" quotePrefix="0" xfId="16">
      <protection locked="1" hidden="1"/>
    </xf>
    <xf numFmtId="0" fontId="0" fillId="0" borderId="0" applyProtection="1" pivotButton="0" quotePrefix="0" xfId="0">
      <protection locked="0" hidden="1"/>
    </xf>
    <xf numFmtId="0" fontId="24" fillId="0" borderId="0" applyProtection="1" pivotButton="0" quotePrefix="0" xfId="0">
      <protection locked="0" hidden="1"/>
    </xf>
    <xf numFmtId="0" fontId="3" fillId="33" borderId="0" applyProtection="1" pivotButton="0" quotePrefix="0" xfId="32">
      <protection locked="0" hidden="1"/>
    </xf>
    <xf numFmtId="0" fontId="14" fillId="20" borderId="1" applyProtection="1" pivotButton="0" quotePrefix="0" xfId="17">
      <protection locked="0" hidden="1"/>
    </xf>
    <xf numFmtId="0" fontId="3" fillId="32" borderId="24" applyProtection="1" pivotButton="0" quotePrefix="0" xfId="31">
      <protection locked="1" hidden="1"/>
    </xf>
    <xf numFmtId="0" fontId="29" fillId="7" borderId="21" applyProtection="1" pivotButton="0" quotePrefix="0" xfId="0">
      <protection locked="0" hidden="1"/>
    </xf>
    <xf numFmtId="0" fontId="40" fillId="10" borderId="0" applyAlignment="1" applyProtection="1" pivotButton="0" quotePrefix="1" xfId="0">
      <alignment horizontal="left" vertical="top" wrapText="1"/>
      <protection locked="1" hidden="1"/>
    </xf>
    <xf numFmtId="0" fontId="42" fillId="0" borderId="0" applyProtection="1" pivotButton="0" quotePrefix="0" xfId="0">
      <protection locked="1" hidden="1"/>
    </xf>
    <xf numFmtId="0" fontId="40" fillId="10" borderId="0" applyAlignment="1" applyProtection="1" pivotButton="0" quotePrefix="0" xfId="0">
      <alignment horizontal="center" wrapText="1"/>
      <protection locked="0" hidden="1"/>
    </xf>
    <xf numFmtId="0" fontId="40" fillId="10" borderId="0" applyAlignment="1" applyProtection="1" pivotButton="0" quotePrefix="0" xfId="1">
      <alignment wrapText="1"/>
      <protection locked="0" hidden="1"/>
    </xf>
    <xf numFmtId="14" fontId="41" fillId="10" borderId="0" applyAlignment="1" applyProtection="1" pivotButton="0" quotePrefix="0" xfId="0">
      <alignment vertical="top"/>
      <protection locked="0" hidden="1"/>
    </xf>
    <xf numFmtId="0" fontId="42" fillId="0" borderId="0" applyAlignment="1" applyProtection="1" pivotButton="0" quotePrefix="0" xfId="0">
      <alignment horizontal="center"/>
      <protection locked="1" hidden="1"/>
    </xf>
    <xf numFmtId="0" fontId="24" fillId="0" borderId="0" applyProtection="1" pivotButton="0" quotePrefix="0" xfId="15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6" fillId="0" borderId="2" applyProtection="1" pivotButton="0" quotePrefix="0" xfId="8">
      <protection locked="0" hidden="1"/>
    </xf>
    <xf numFmtId="166" fontId="28" fillId="0" borderId="0" applyProtection="1" pivotButton="0" quotePrefix="0" xfId="0">
      <protection locked="0" hidden="1"/>
    </xf>
    <xf numFmtId="0" fontId="7" fillId="11" borderId="0" applyProtection="1" pivotButton="0" quotePrefix="0" xfId="9">
      <protection locked="0" hidden="1"/>
    </xf>
    <xf numFmtId="0" fontId="3" fillId="14" borderId="0" applyProtection="1" pivotButton="0" quotePrefix="0" xfId="12">
      <protection locked="0" hidden="1"/>
    </xf>
    <xf numFmtId="0" fontId="3" fillId="13" borderId="0" applyProtection="1" pivotButton="0" quotePrefix="0" xfId="11">
      <protection locked="0" hidden="1"/>
    </xf>
    <xf numFmtId="0" fontId="3" fillId="12" borderId="0" applyProtection="1" pivotButton="0" quotePrefix="0" xfId="10">
      <protection locked="0" hidden="1"/>
    </xf>
    <xf numFmtId="0" fontId="14" fillId="20" borderId="1" applyProtection="1" pivotButton="0" quotePrefix="0" xfId="17">
      <protection locked="0" hidden="0"/>
    </xf>
    <xf numFmtId="0" fontId="14" fillId="19" borderId="1" applyProtection="1" pivotButton="0" quotePrefix="0" xfId="16">
      <protection locked="0" hidden="0"/>
    </xf>
    <xf numFmtId="0" fontId="29" fillId="0" borderId="0" applyProtection="1" pivotButton="0" quotePrefix="0" xfId="0">
      <protection locked="0" hidden="1"/>
    </xf>
    <xf numFmtId="0" fontId="26" fillId="0" borderId="0" applyProtection="1" pivotButton="0" quotePrefix="0" xfId="0">
      <protection locked="0" hidden="1"/>
    </xf>
    <xf numFmtId="0" fontId="3" fillId="31" borderId="0" applyProtection="1" pivotButton="0" quotePrefix="0" xfId="30">
      <protection locked="0" hidden="1"/>
    </xf>
    <xf numFmtId="0" fontId="14" fillId="20" borderId="1" applyAlignment="1" applyProtection="1" pivotButton="0" quotePrefix="0" xfId="17">
      <alignment horizontal="center"/>
      <protection locked="0" hidden="1"/>
    </xf>
    <xf numFmtId="0" fontId="39" fillId="0" borderId="0" applyProtection="1" pivotButton="0" quotePrefix="0" xfId="0">
      <protection locked="0" hidden="1"/>
    </xf>
    <xf numFmtId="9" fontId="39" fillId="0" borderId="0" applyProtection="1" pivotButton="0" quotePrefix="0" xfId="28">
      <protection locked="0" hidden="1"/>
    </xf>
    <xf numFmtId="0" fontId="39" fillId="0" borderId="29" applyProtection="1" pivotButton="0" quotePrefix="0" xfId="0">
      <protection locked="0" hidden="1"/>
    </xf>
    <xf numFmtId="0" fontId="44" fillId="0" borderId="29" applyProtection="1" pivotButton="0" quotePrefix="0" xfId="0">
      <protection locked="0" hidden="1"/>
    </xf>
    <xf numFmtId="0" fontId="39" fillId="0" borderId="29" applyProtection="1" pivotButton="0" quotePrefix="1" xfId="0">
      <protection locked="0" hidden="1"/>
    </xf>
    <xf numFmtId="0" fontId="39" fillId="0" borderId="25" applyProtection="1" pivotButton="0" quotePrefix="0" xfId="0">
      <protection locked="0" hidden="1"/>
    </xf>
    <xf numFmtId="0" fontId="7" fillId="16" borderId="0" applyProtection="1" pivotButton="0" quotePrefix="0" xfId="14">
      <protection locked="0" hidden="1"/>
    </xf>
    <xf numFmtId="0" fontId="39" fillId="0" borderId="23" applyAlignment="1" applyProtection="1" pivotButton="0" quotePrefix="0" xfId="0">
      <alignment horizontal="center"/>
      <protection locked="0" hidden="1"/>
    </xf>
    <xf numFmtId="0" fontId="39" fillId="0" borderId="30" applyProtection="1" pivotButton="0" quotePrefix="0" xfId="0">
      <protection locked="0" hidden="1"/>
    </xf>
    <xf numFmtId="0" fontId="45" fillId="0" borderId="30" applyProtection="1" pivotButton="0" quotePrefix="0" xfId="0">
      <protection locked="0" hidden="1"/>
    </xf>
    <xf numFmtId="0" fontId="39" fillId="0" borderId="30" applyProtection="1" pivotButton="0" quotePrefix="1" xfId="0">
      <protection locked="0" hidden="1"/>
    </xf>
    <xf numFmtId="0" fontId="46" fillId="0" borderId="16" applyProtection="1" pivotButton="0" quotePrefix="0" xfId="0">
      <protection locked="0" hidden="1"/>
    </xf>
    <xf numFmtId="0" fontId="39" fillId="0" borderId="0" applyAlignment="1" applyProtection="1" pivotButton="0" quotePrefix="0" xfId="0">
      <alignment horizontal="center"/>
      <protection locked="0" hidden="1"/>
    </xf>
    <xf numFmtId="164" fontId="0" fillId="0" borderId="0" applyProtection="1" pivotButton="0" quotePrefix="0" xfId="0">
      <protection locked="0" hidden="1"/>
    </xf>
    <xf numFmtId="0" fontId="0" fillId="0" borderId="30" applyProtection="1" pivotButton="0" quotePrefix="0" xfId="0">
      <protection locked="0" hidden="1"/>
    </xf>
    <xf numFmtId="0" fontId="24" fillId="0" borderId="16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39" fillId="0" borderId="31" applyProtection="1" pivotButton="0" quotePrefix="1" xfId="0">
      <protection locked="0" hidden="1"/>
    </xf>
    <xf numFmtId="0" fontId="24" fillId="0" borderId="28" applyProtection="1" pivotButton="0" quotePrefix="0" xfId="0">
      <protection locked="0" hidden="1"/>
    </xf>
    <xf numFmtId="0" fontId="32" fillId="0" borderId="2" applyProtection="1" pivotButton="0" quotePrefix="0" xfId="8">
      <protection locked="0" hidden="1"/>
    </xf>
    <xf numFmtId="0" fontId="32" fillId="0" borderId="1" applyAlignment="1" applyProtection="1" pivotButton="0" quotePrefix="0" xfId="2">
      <alignment horizontal="center"/>
      <protection locked="0" hidden="1"/>
    </xf>
    <xf numFmtId="0" fontId="14" fillId="20" borderId="0" applyProtection="1" pivotButton="0" quotePrefix="0" xfId="17">
      <protection locked="0" hidden="0"/>
    </xf>
    <xf numFmtId="0" fontId="7" fillId="21" borderId="0" applyProtection="1" pivotButton="0" quotePrefix="0" xfId="18">
      <protection locked="0" hidden="1"/>
    </xf>
    <xf numFmtId="0" fontId="0" fillId="0" borderId="22" applyProtection="1" pivotButton="0" quotePrefix="0" xfId="0">
      <protection locked="0" hidden="1"/>
    </xf>
    <xf numFmtId="0" fontId="4" fillId="0" borderId="1" applyProtection="1" pivotButton="0" quotePrefix="0" xfId="2">
      <protection locked="0" hidden="1"/>
    </xf>
    <xf numFmtId="0" fontId="26" fillId="0" borderId="0" applyProtection="1" pivotButton="0" quotePrefix="0" xfId="0">
      <protection locked="0" hidden="0"/>
    </xf>
    <xf numFmtId="0" fontId="29" fillId="0" borderId="23" applyProtection="1" pivotButton="0" quotePrefix="0" xfId="0">
      <protection locked="0" hidden="1"/>
    </xf>
    <xf numFmtId="0" fontId="6" fillId="0" borderId="26" applyProtection="1" pivotButton="0" quotePrefix="0" xfId="8">
      <protection locked="0" hidden="1"/>
    </xf>
    <xf numFmtId="0" fontId="30" fillId="20" borderId="1" applyProtection="1" pivotButton="0" quotePrefix="0" xfId="17">
      <protection locked="0" hidden="1"/>
    </xf>
    <xf numFmtId="0" fontId="21" fillId="0" borderId="0" applyProtection="1" pivotButton="0" quotePrefix="0" xfId="0">
      <protection locked="0" hidden="1"/>
    </xf>
    <xf numFmtId="0" fontId="39" fillId="0" borderId="22" applyProtection="1" pivotButton="0" quotePrefix="0" xfId="0">
      <protection locked="0" hidden="1"/>
    </xf>
    <xf numFmtId="0" fontId="33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0" xfId="19">
      <alignment horizontal="center"/>
      <protection locked="0" hidden="1"/>
    </xf>
    <xf numFmtId="0" fontId="30" fillId="22" borderId="0" applyAlignment="1" applyProtection="1" pivotButton="0" quotePrefix="1" xfId="19">
      <alignment horizontal="right"/>
      <protection locked="0" hidden="1"/>
    </xf>
    <xf numFmtId="0" fontId="48" fillId="0" borderId="0" applyProtection="1" pivotButton="0" quotePrefix="0" xfId="0">
      <protection locked="0" hidden="0"/>
    </xf>
    <xf numFmtId="0" fontId="48" fillId="0" borderId="0" applyProtection="1" pivotButton="0" quotePrefix="0" xfId="0">
      <protection locked="0" hidden="1"/>
    </xf>
    <xf numFmtId="0" fontId="39" fillId="0" borderId="0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1"/>
    </xf>
    <xf numFmtId="0" fontId="31" fillId="0" borderId="0" applyProtection="1" pivotButton="0" quotePrefix="0" xfId="0">
      <protection locked="0" hidden="1"/>
    </xf>
    <xf numFmtId="0" fontId="16" fillId="0" borderId="0" applyProtection="1" pivotButton="0" quotePrefix="0" xfId="0">
      <protection locked="0" hidden="1"/>
    </xf>
    <xf numFmtId="0" fontId="16" fillId="0" borderId="0" applyAlignment="1" applyProtection="1" pivotButton="0" quotePrefix="0" xfId="0">
      <alignment horizontal="center"/>
      <protection locked="0" hidden="1"/>
    </xf>
    <xf numFmtId="0" fontId="36" fillId="0" borderId="2" applyAlignment="1" applyProtection="1" pivotButton="0" quotePrefix="0" xfId="8">
      <alignment horizontal="center"/>
      <protection locked="0" hidden="1"/>
    </xf>
    <xf numFmtId="0" fontId="0" fillId="0" borderId="0" applyAlignment="1" applyProtection="1" pivotButton="0" quotePrefix="0" xfId="0">
      <alignment wrapText="1"/>
      <protection locked="0" hidden="1"/>
    </xf>
    <xf numFmtId="0" fontId="35" fillId="0" borderId="0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0" fontId="34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3" fillId="7" borderId="0" applyProtection="1" pivotButton="0" quotePrefix="0" xfId="5">
      <protection locked="0" hidden="0"/>
    </xf>
    <xf numFmtId="164" fontId="3" fillId="7" borderId="0" applyProtection="1" pivotButton="0" quotePrefix="0" xfId="5">
      <protection locked="0" hidden="0"/>
    </xf>
    <xf numFmtId="0" fontId="3" fillId="15" borderId="0" applyProtection="1" pivotButton="0" quotePrefix="0" xfId="13">
      <protection locked="0" hidden="0"/>
    </xf>
    <xf numFmtId="0" fontId="7" fillId="21" borderId="0" applyProtection="1" pivotButton="0" quotePrefix="0" xfId="18">
      <protection locked="0" hidden="0"/>
    </xf>
    <xf numFmtId="0" fontId="0" fillId="0" borderId="22" applyProtection="1" pivotButton="0" quotePrefix="0" xfId="0">
      <protection locked="0" hidden="0"/>
    </xf>
    <xf numFmtId="0" fontId="3" fillId="7" borderId="0" applyProtection="1" pivotButton="0" quotePrefix="0" xfId="6">
      <protection locked="0" hidden="0"/>
    </xf>
    <xf numFmtId="0" fontId="3" fillId="7" borderId="0" applyProtection="1" pivotButton="0" quotePrefix="0" xfId="7">
      <protection locked="0" hidden="0"/>
    </xf>
    <xf numFmtId="0" fontId="3" fillId="7" borderId="0" applyProtection="1" pivotButton="0" quotePrefix="0" xfId="4">
      <protection locked="0" hidden="0"/>
    </xf>
    <xf numFmtId="0" fontId="5" fillId="7" borderId="0" applyProtection="1" pivotButton="0" quotePrefix="0" xfId="3">
      <protection locked="0" hidden="0"/>
    </xf>
    <xf numFmtId="164" fontId="14" fillId="19" borderId="1" applyProtection="1" pivotButton="0" quotePrefix="0" xfId="16">
      <protection locked="0" hidden="0"/>
    </xf>
    <xf numFmtId="0" fontId="29" fillId="7" borderId="0" applyProtection="1" pivotButton="0" quotePrefix="0" xfId="0">
      <protection locked="0" hidden="1"/>
    </xf>
    <xf numFmtId="0" fontId="24" fillId="0" borderId="0" applyProtection="1" pivotButton="0" quotePrefix="0" xfId="15">
      <protection locked="0" hidden="1"/>
    </xf>
    <xf numFmtId="0" fontId="3" fillId="22" borderId="0" pivotButton="0" quotePrefix="0" xfId="19"/>
    <xf numFmtId="0" fontId="7" fillId="11" borderId="2" pivotButton="0" quotePrefix="0" xfId="9"/>
    <xf numFmtId="0" fontId="22" fillId="0" borderId="0" pivotButton="0" quotePrefix="0" xfId="15"/>
    <xf numFmtId="166" fontId="53" fillId="0" borderId="0" applyProtection="1" pivotButton="0" quotePrefix="0" xfId="0">
      <protection locked="0" hidden="1"/>
    </xf>
    <xf numFmtId="0" fontId="22" fillId="0" borderId="0" applyProtection="1" pivotButton="0" quotePrefix="0" xfId="15">
      <protection locked="1" hidden="1"/>
    </xf>
    <xf numFmtId="164" fontId="22" fillId="0" borderId="0" applyProtection="1" pivotButton="0" quotePrefix="0" xfId="15">
      <protection locked="0" hidden="0"/>
    </xf>
    <xf numFmtId="0" fontId="24" fillId="0" borderId="0" applyProtection="1" pivotButton="0" quotePrefix="0" xfId="15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2" fillId="14" borderId="22" applyProtection="1" pivotButton="0" quotePrefix="0" xfId="12">
      <protection locked="1" hidden="1"/>
    </xf>
    <xf numFmtId="0" fontId="50" fillId="0" borderId="0" applyProtection="1" pivotButton="0" quotePrefix="0" xfId="0">
      <protection locked="1" hidden="1"/>
    </xf>
    <xf numFmtId="0" fontId="3" fillId="3" borderId="22" applyProtection="1" pivotButton="0" quotePrefix="0" xfId="4">
      <protection locked="1" hidden="1"/>
    </xf>
    <xf numFmtId="0" fontId="3" fillId="39" borderId="22" applyProtection="1" pivotButton="0" quotePrefix="0" xfId="38">
      <protection locked="1" hidden="1"/>
    </xf>
    <xf numFmtId="0" fontId="7" fillId="24" borderId="22" applyProtection="1" pivotButton="0" quotePrefix="0" xfId="22">
      <protection locked="1" hidden="1"/>
    </xf>
    <xf numFmtId="0" fontId="2" fillId="6" borderId="22" applyProtection="1" pivotButton="0" quotePrefix="0" xfId="7">
      <protection locked="1" hidden="1"/>
    </xf>
    <xf numFmtId="0" fontId="15" fillId="35" borderId="22" applyProtection="1" pivotButton="0" quotePrefix="0" xfId="34">
      <protection locked="1" hidden="1"/>
    </xf>
    <xf numFmtId="0" fontId="3" fillId="36" borderId="22" applyProtection="1" pivotButton="0" quotePrefix="0" xfId="35">
      <protection locked="1" hidden="1"/>
    </xf>
    <xf numFmtId="0" fontId="3" fillId="37" borderId="33" applyProtection="1" pivotButton="0" quotePrefix="0" xfId="36">
      <protection locked="1" hidden="1"/>
    </xf>
    <xf numFmtId="0" fontId="35" fillId="0" borderId="0" applyProtection="1" pivotButton="0" quotePrefix="0" xfId="0">
      <protection locked="1" hidden="1"/>
    </xf>
    <xf numFmtId="0" fontId="3" fillId="29" borderId="22" applyProtection="1" pivotButton="0" quotePrefix="0" xfId="27">
      <protection locked="1" hidden="1"/>
    </xf>
    <xf numFmtId="0" fontId="3" fillId="28" borderId="22" applyProtection="1" pivotButton="0" quotePrefix="0" xfId="26">
      <protection locked="1" hidden="1"/>
    </xf>
    <xf numFmtId="0" fontId="3" fillId="27" borderId="22" applyProtection="1" pivotButton="0" quotePrefix="0" xfId="25">
      <protection locked="1" hidden="1"/>
    </xf>
    <xf numFmtId="0" fontId="2" fillId="4" borderId="0" applyProtection="1" pivotButton="0" quotePrefix="0" xfId="5">
      <protection locked="1" hidden="1"/>
    </xf>
    <xf numFmtId="0" fontId="52" fillId="0" borderId="1" applyProtection="1" pivotButton="0" quotePrefix="0" xfId="2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49" fillId="34" borderId="22" applyProtection="1" pivotButton="0" quotePrefix="0" xfId="33">
      <protection locked="0" hidden="1"/>
    </xf>
    <xf numFmtId="0" fontId="24" fillId="15" borderId="22" applyProtection="1" pivotButton="0" quotePrefix="0" xfId="13">
      <protection locked="0" hidden="1"/>
    </xf>
    <xf numFmtId="0" fontId="51" fillId="34" borderId="22" applyAlignment="1" applyProtection="1" pivotButton="0" quotePrefix="0" xfId="33">
      <alignment horizontal="right"/>
      <protection locked="0" hidden="1"/>
    </xf>
    <xf numFmtId="49" fontId="29" fillId="7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4" fontId="29" fillId="7" borderId="0" applyProtection="1" pivotButton="0" quotePrefix="0" xfId="0">
      <protection locked="0" hidden="1"/>
    </xf>
    <xf numFmtId="0" fontId="0" fillId="38" borderId="22" applyAlignment="1" applyProtection="1" pivotButton="0" quotePrefix="1" xfId="37">
      <alignment wrapText="1"/>
      <protection locked="1" hidden="1"/>
    </xf>
    <xf numFmtId="0" fontId="8" fillId="7" borderId="0" applyProtection="1" pivotButton="0" quotePrefix="0" xfId="15">
      <protection locked="0" hidden="1"/>
    </xf>
    <xf numFmtId="0" fontId="3" fillId="33" borderId="0" applyAlignment="1" applyProtection="1" pivotButton="0" quotePrefix="0" xfId="32">
      <alignment horizontal="center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2" fontId="29" fillId="7" borderId="0" applyProtection="1" pivotButton="0" quotePrefix="0" xfId="0">
      <protection locked="0" hidden="1"/>
    </xf>
    <xf numFmtId="0" fontId="29" fillId="7" borderId="0" applyProtection="1" pivotButton="0" quotePrefix="0" xfId="13">
      <protection locked="0" hidden="1"/>
    </xf>
    <xf numFmtId="0" fontId="14" fillId="20" borderId="1" applyAlignment="1" applyProtection="1" pivotButton="0" quotePrefix="1" xfId="17">
      <alignment horizontal="center"/>
      <protection locked="0" hidden="1"/>
    </xf>
    <xf numFmtId="0" fontId="3" fillId="33" borderId="0" applyAlignment="1" applyProtection="1" pivotButton="0" quotePrefix="1" xfId="32">
      <alignment wrapText="1"/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0" fontId="29" fillId="7" borderId="0" applyProtection="1" pivotButton="0" quotePrefix="0" xfId="0">
      <protection locked="1" hidden="1"/>
    </xf>
    <xf numFmtId="0" fontId="3" fillId="13" borderId="0" applyProtection="1" pivotButton="0" quotePrefix="0" xfId="11">
      <protection locked="0" hidden="0"/>
    </xf>
    <xf numFmtId="0" fontId="3" fillId="14" borderId="0" applyProtection="1" pivotButton="0" quotePrefix="0" xfId="12">
      <protection locked="0" hidden="0"/>
    </xf>
    <xf numFmtId="0" fontId="7" fillId="11" borderId="0" applyProtection="1" pivotButton="0" quotePrefix="0" xfId="9">
      <protection locked="0" hidden="0"/>
    </xf>
    <xf numFmtId="0" fontId="3" fillId="30" borderId="0" applyProtection="1" pivotButton="0" quotePrefix="0" xfId="29">
      <protection locked="0" hidden="0"/>
    </xf>
    <xf numFmtId="0" fontId="3" fillId="25" borderId="0" applyProtection="1" pivotButton="0" quotePrefix="0" xfId="23">
      <protection locked="0" hidden="0"/>
    </xf>
    <xf numFmtId="0" fontId="3" fillId="12" borderId="0" applyProtection="1" pivotButton="0" quotePrefix="0" xfId="10">
      <protection locked="0" hidden="0"/>
    </xf>
    <xf numFmtId="0" fontId="3" fillId="31" borderId="0" applyProtection="1" pivotButton="0" quotePrefix="0" xfId="30">
      <protection locked="0" hidden="0"/>
    </xf>
    <xf numFmtId="0" fontId="7" fillId="16" borderId="0" applyProtection="1" pivotButton="0" quotePrefix="0" xfId="14">
      <protection locked="0" hidden="0"/>
    </xf>
    <xf numFmtId="0" fontId="2" fillId="0" borderId="0" pivotButton="0" quotePrefix="0" xfId="0"/>
    <xf numFmtId="0" fontId="2" fillId="0" borderId="0" pivotButton="0" quotePrefix="0" xfId="15"/>
    <xf numFmtId="0" fontId="7" fillId="0" borderId="0" pivotButton="0" quotePrefix="0" xfId="0"/>
    <xf numFmtId="0" fontId="3" fillId="32" borderId="0" applyProtection="1" pivotButton="0" quotePrefix="0" xfId="31">
      <protection locked="0" hidden="1"/>
    </xf>
    <xf numFmtId="0" fontId="3" fillId="27" borderId="0" applyProtection="1" pivotButton="0" quotePrefix="0" xfId="25">
      <protection locked="0" hidden="1"/>
    </xf>
    <xf numFmtId="0" fontId="50" fillId="15" borderId="0" applyProtection="1" pivotButton="0" quotePrefix="0" xfId="13">
      <protection locked="1" hidden="1"/>
    </xf>
    <xf numFmtId="0" fontId="50" fillId="12" borderId="0" applyProtection="1" pivotButton="0" quotePrefix="0" xfId="10">
      <protection locked="1" hidden="1"/>
    </xf>
    <xf numFmtId="0" fontId="0" fillId="0" borderId="0" applyProtection="1" pivotButton="0" quotePrefix="0" xfId="0">
      <protection locked="1" hidden="1"/>
    </xf>
    <xf numFmtId="0" fontId="50" fillId="27" borderId="0" applyProtection="1" pivotButton="0" quotePrefix="0" xfId="25">
      <protection locked="1" hidden="1"/>
    </xf>
    <xf numFmtId="0" fontId="14" fillId="20" borderId="1" applyProtection="1" pivotButton="0" quotePrefix="0" xfId="17">
      <protection locked="0" hidden="1"/>
    </xf>
    <xf numFmtId="0" fontId="14" fillId="20" borderId="0" applyAlignment="1" applyProtection="1" pivotButton="0" quotePrefix="0" xfId="17">
      <alignment horizontal="left"/>
      <protection locked="0" hidden="1"/>
    </xf>
    <xf numFmtId="0" fontId="23" fillId="0" borderId="12" applyAlignment="1" pivotButton="0" quotePrefix="0" xfId="20">
      <alignment horizontal="left"/>
    </xf>
    <xf numFmtId="0" fontId="23" fillId="0" borderId="13" applyAlignment="1" pivotButton="0" quotePrefix="0" xfId="20">
      <alignment horizontal="left"/>
    </xf>
    <xf numFmtId="0" fontId="23" fillId="0" borderId="11" applyAlignment="1" pivotButton="0" quotePrefix="0" xfId="20">
      <alignment horizontal="center"/>
    </xf>
    <xf numFmtId="0" fontId="23" fillId="0" borderId="0" applyAlignment="1" pivotButton="0" quotePrefix="0" xfId="20">
      <alignment horizontal="center"/>
    </xf>
    <xf numFmtId="164" fontId="0" fillId="0" borderId="0" applyProtection="1" pivotButton="0" quotePrefix="0" xfId="0">
      <protection locked="1" hidden="1"/>
    </xf>
    <xf numFmtId="164" fontId="0" fillId="0" borderId="22" applyProtection="1" pivotButton="0" quotePrefix="0" xfId="0">
      <protection locked="0" hidden="0"/>
    </xf>
    <xf numFmtId="164" fontId="18" fillId="0" borderId="22" applyProtection="1" pivotButton="0" quotePrefix="0" xfId="0">
      <protection locked="0" hidden="0"/>
    </xf>
    <xf numFmtId="166" fontId="53" fillId="0" borderId="0" applyProtection="1" pivotButton="0" quotePrefix="0" xfId="0">
      <protection locked="0" hidden="1"/>
    </xf>
    <xf numFmtId="166" fontId="28" fillId="0" borderId="0" applyProtection="1" pivotButton="0" quotePrefix="0" xfId="0">
      <protection locked="0" hidden="1"/>
    </xf>
    <xf numFmtId="164" fontId="0" fillId="0" borderId="0" applyProtection="1" pivotButton="0" quotePrefix="0" xfId="0">
      <protection locked="0" hidden="1"/>
    </xf>
    <xf numFmtId="0" fontId="0" fillId="0" borderId="1" applyProtection="1" pivotButton="0" quotePrefix="0" xfId="0">
      <protection locked="0" hidden="1"/>
    </xf>
    <xf numFmtId="164" fontId="35" fillId="0" borderId="0" applyProtection="1" pivotButton="0" quotePrefix="0" xfId="0">
      <protection locked="0" hidden="1"/>
    </xf>
    <xf numFmtId="164" fontId="34" fillId="0" borderId="0" applyProtection="1" pivotButton="0" quotePrefix="0" xfId="0">
      <protection locked="0" hidden="1"/>
    </xf>
    <xf numFmtId="167" fontId="29" fillId="7" borderId="0" applyProtection="1" pivotButton="0" quotePrefix="0" xfId="0">
      <protection locked="0" hidden="1"/>
    </xf>
    <xf numFmtId="168" fontId="29" fillId="7" borderId="0" applyProtection="1" pivotButton="0" quotePrefix="0" xfId="0">
      <protection locked="0" hidden="1"/>
    </xf>
    <xf numFmtId="168" fontId="54" fillId="7" borderId="0" applyAlignment="1" applyProtection="1" pivotButton="0" quotePrefix="1" xfId="0">
      <alignment horizontal="center" wrapText="1"/>
      <protection locked="0" hidden="1"/>
    </xf>
    <xf numFmtId="168" fontId="29" fillId="7" borderId="0" applyAlignment="1" applyProtection="1" pivotButton="0" quotePrefix="0" xfId="0">
      <alignment wrapText="1"/>
      <protection locked="0" hidden="1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4" fontId="22" fillId="0" borderId="0" applyProtection="1" pivotButton="0" quotePrefix="0" xfId="15">
      <protection locked="0" hidden="0"/>
    </xf>
    <xf numFmtId="164" fontId="3" fillId="7" borderId="0" applyProtection="1" pivotButton="0" quotePrefix="0" xfId="5">
      <protection locked="0" hidden="0"/>
    </xf>
    <xf numFmtId="164" fontId="14" fillId="19" borderId="1" applyProtection="1" pivotButton="0" quotePrefix="0" xfId="16">
      <protection locked="0" hidden="0"/>
    </xf>
    <xf numFmtId="164" fontId="29" fillId="7" borderId="0" applyProtection="1" pivotButton="0" quotePrefix="0" xfId="0">
      <protection locked="0" hidden="0"/>
    </xf>
    <xf numFmtId="164" fontId="29" fillId="0" borderId="0" applyProtection="1" pivotButton="0" quotePrefix="0" xfId="0">
      <protection locked="0" hidden="0"/>
    </xf>
    <xf numFmtId="165" fontId="29" fillId="7" borderId="0" applyProtection="1" pivotButton="0" quotePrefix="0" xfId="0">
      <protection locked="0" hidden="0"/>
    </xf>
  </cellXfs>
  <cellStyles count="39">
    <cellStyle name="Normal" xfId="0" builtinId="0"/>
    <cellStyle name="Title" xfId="1" builtinId="15"/>
    <cellStyle name="Heading 2" xfId="2" builtinId="17"/>
    <cellStyle name="Neutral" xfId="3" builtinId="28"/>
    <cellStyle name="40% - Accent4" xfId="4" builtinId="43"/>
    <cellStyle name="Style 1" xfId="5"/>
    <cellStyle name="Style 2" xfId="6"/>
    <cellStyle name="Style 3" xfId="7"/>
    <cellStyle name="Heading 1" xfId="8" builtinId="16"/>
    <cellStyle name="Accent1" xfId="9" builtinId="29"/>
    <cellStyle name="20% - Accent1" xfId="10" builtinId="30"/>
    <cellStyle name="40% - Accent1" xfId="11" builtinId="31"/>
    <cellStyle name="60% - Accent1" xfId="12" builtinId="32"/>
    <cellStyle name="20% - Accent3" xfId="13" builtinId="38"/>
    <cellStyle name="Accent5" xfId="14" builtinId="45"/>
    <cellStyle name="Hyperlink" xfId="15" builtinId="8"/>
    <cellStyle name="Style 1 2" xfId="16"/>
    <cellStyle name="Style 4" xfId="17"/>
    <cellStyle name="Style 5" xfId="18"/>
    <cellStyle name="Style 6" xfId="19"/>
    <cellStyle name="Heading 3" xfId="20" builtinId="18"/>
    <cellStyle name="Accent3" xfId="21" builtinId="37"/>
    <cellStyle name="Accent4" xfId="22" builtinId="41"/>
    <cellStyle name="20% - Accent5" xfId="23" builtinId="46"/>
    <cellStyle name="Accent6" xfId="24" builtinId="49"/>
    <cellStyle name="20% - Accent6" xfId="25" builtinId="50"/>
    <cellStyle name="40% - Accent6" xfId="26" builtinId="51"/>
    <cellStyle name="60% - Accent6" xfId="27" builtinId="52"/>
    <cellStyle name="Percent" xfId="28" builtinId="5"/>
    <cellStyle name="40% - Accent5" xfId="29" builtinId="47"/>
    <cellStyle name="60% - Accent5" xfId="30" builtinId="48"/>
    <cellStyle name="40% - Accent3" xfId="31" builtinId="39"/>
    <cellStyle name="60% - Accent3" xfId="32" builtinId="40"/>
    <cellStyle name="Output" xfId="33" builtinId="21"/>
    <cellStyle name="20% - Accent2" xfId="34" builtinId="34"/>
    <cellStyle name="40% - Accent2" xfId="35" builtinId="35"/>
    <cellStyle name="60% - Accent2" xfId="36" builtinId="36"/>
    <cellStyle name="20% - Accent4" xfId="37" builtinId="42"/>
    <cellStyle name="60% - Accent4" xfId="38" builtinId="44"/>
  </cellStyles>
  <dxfs count="100">
    <dxf>
      <fill>
        <patternFill>
          <bgColor theme="9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6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7" formatCode="[$]dddd\,\ d\ mmmm\ yyyy;@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[$-F800]dddd\,\ mmmm\ dd\,\ yyyy"/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1" hidden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2" formatCode="0.0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alignment horizontal="general" vertical="bottom" wrapText="1"/>
      <protection locked="0" hidden="1"/>
    </dxf>
    <dxf>
      <numFmt numFmtId="165" formatCode="0.0"/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5" formatCode="0.0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0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164" formatCode="yyyy\-mm\-dd;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numFmt numFmtId="30" formatCode="@"/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ont>
        <name val="Calibri"/>
        <family val="2"/>
        <strike val="0"/>
        <outline val="0"/>
        <shadow val="0"/>
        <sz val="14"/>
        <vertAlign val="baseline"/>
        <scheme val="minor"/>
      </font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</dxf>
    <dxf>
      <fill>
        <patternFill patternType="solid">
          <fgColor indexed="64"/>
          <bgColor rgb="FFF4F7F6"/>
        </patternFill>
      </fill>
      <protection locked="0" hidden="1"/>
    </dxf>
    <dxf>
      <fill>
        <patternFill patternType="solid">
          <fgColor indexed="64"/>
          <bgColor rgb="FFF4F7F6"/>
        </patternFill>
      </fill>
      <protection locked="1" hidden="1"/>
    </dxf>
    <dxf>
      <protection locked="1" hidden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border outline="0">
        <left style="thin">
          <color indexed="64"/>
        </left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border outline="0">
        <left style="thin">
          <color indexed="64"/>
        </left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right" vertical="bottom"/>
    </dxf>
    <dxf>
      <border outline="0">
        <right style="thin">
          <color indexed="64"/>
        </right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"/>
        </right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numFmt numFmtId="13" formatCode="0%"/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protection locked="0" hidden="1"/>
    </dxf>
    <dxf>
      <protection locked="0" hidden="1"/>
    </dxf>
    <dxf>
      <font>
        <b val="1"/>
        <color theme="0"/>
      </font>
      <fill>
        <patternFill>
          <bgColor theme="3" tint="-0.499984740745262"/>
        </patternFill>
      </fill>
    </dxf>
    <dxf>
      <fill>
        <patternFill>
          <bgColor theme="2" tint="-0.749961851863155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</dxfs>
  <tableStyles count="6" defaultTableStyle="TableStyleMedium2" defaultPivotStyle="PivotStyleLight16">
    <tableStyle name="Slicer Style 1" pivot="0" table="0" count="1">
      <tableStyleElement type="wholeTable" dxfId="99"/>
    </tableStyle>
    <tableStyle name="Slicer Style 2" pivot="0" table="0" count="0"/>
    <tableStyle name="Slicer Style 3" pivot="0" table="0" count="1">
      <tableStyleElement type="wholeTable" dxfId="98"/>
    </tableStyle>
    <tableStyle name="Slicer Style 4" pivot="0" table="0" count="1">
      <tableStyleElement type="wholeTable" dxfId="97"/>
    </tableStyle>
    <tableStyle name="Slicer Style 5" pivot="0" table="0" count="1"/>
    <tableStyle name="Slicer Style 6" pivot="0" table="0" count="1">
      <tableStyleElement type="headerRow" dxfId="9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CAS_MAT" displayName="CAS_MAT" ref="J21:L24" headerRowCount="1" totalsRowShown="0" headerRowDxfId="95" dataDxfId="94">
  <autoFilter ref="J21:L24"/>
  <tableColumns count="3">
    <tableColumn id="1" name="AGE RANGE" dataDxfId="93"/>
    <tableColumn id="2" name="NUMBER" dataDxfId="92"/>
    <tableColumn id="3" name="% of active cases" dataDxfId="91" dataCellStyle="Percent">
      <calculatedColumnFormula>IFERROR(K22/COUNTIFS(HCT6_CR[STATUS],"ACTIVE"),0)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KPI_STATUS" displayName="KPI_STATUS" ref="C6:D15" headerRowCount="1" totalsRowShown="0">
  <autoFilter ref="C6:D15"/>
  <tableColumns count="2">
    <tableColumn id="1" name="STATUS"/>
    <tableColumn id="2" name="NUMBER">
      <calculatedColumnFormula>COUNTIF(HCT6_CR[STATUS],"CONCLUDED")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PI_HLOG" displayName="KPI_HLOG" ref="F6:G13" headerRowCount="1" totalsRowShown="0" headerRowDxfId="90" dataDxfId="89" tableBorderDxfId="88">
  <autoFilter ref="F6:G13"/>
  <tableColumns count="2">
    <tableColumn id="1" name="PURPOSE" dataDxfId="87"/>
    <tableColumn id="2" name="NUMBER" dataDxfId="8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KPI_NXACT" displayName="KPI_NXACT" ref="H6:I22" headerRowCount="1" totalsRowShown="0" tableBorderDxfId="85">
  <autoFilter ref="H6:I22"/>
  <tableColumns count="2">
    <tableColumn id="1" name="NEXT ACTION"/>
    <tableColumn id="2" name="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JUD_KPI" displayName="JUD_KPI" ref="O6:R7" headerRowCount="1" totalsRowShown="0" headerRowDxfId="84" dataDxfId="83" tableBorderDxfId="82">
  <autoFilter ref="O6:R7"/>
  <tableColumns count="4">
    <tableColumn id="1" name="Q1" dataDxfId="81">
      <calculatedColumnFormula>COUNTIFS(HCT6_HL[DATE CONCLUDED],"&gt;="&amp;DATE(YEAR(TODAY()),1,1),HCT6_HL[DATE CONCLUDED],"&lt;"&amp;DATE(YEAR(TODAY()),4,1))</calculatedColumnFormula>
    </tableColumn>
    <tableColumn id="2" name="Q2" dataDxfId="80">
      <calculatedColumnFormula>COUNTIFS(HCT6_HL[DATE CONCLUDED],"&gt;="&amp;DATE(YEAR(TODAY()),4,1),HCT6_HL[DATE CONCLUDED],"&lt;"&amp;DATE(YEAR(TODAY()),7,1))</calculatedColumnFormula>
    </tableColumn>
    <tableColumn id="3" name="Q3" dataDxfId="79">
      <calculatedColumnFormula>COUNTIFS(HCT6_HL[DATE CONCLUDED],"&gt;="&amp;DATE(YEAR(TODAY()),7,1),HCT6_HL[DATE CONCLUDED],"&lt;"&amp;DATE(YEAR(TODAY()),10,1))</calculatedColumnFormula>
    </tableColumn>
    <tableColumn id="4" name="Q4" dataDxfId="78">
      <calculatedColumnFormula>COUNTIFS(HCT6_HL[DATE CONCLUDED],"&gt;="&amp;DATE(YEAR(TODAY()),10,1),HCT6_HL[DATE CONCLUDED],"&lt;"&amp;DATE(YEAR(TODAY())+1,1,1))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SES_KPI" displayName="CASES_KPI" ref="O12:R13" headerRowCount="1" totalsRowShown="0" headerRowDxfId="77" tableBorderDxfId="76">
  <autoFilter ref="O12:R13"/>
  <tableColumns count="4">
    <tableColumn id="1" name="Q1">
      <calculatedColumnFormula>COUNTIFS(HCT6_CR[DATE ASSIGNED],"&gt;="&amp;DATE(YEAR(TODAY()),1,1),HCT6_CR[DATE ASSIGNED],"&lt;"&amp;DATE(YEAR(TODAY()),4,1))</calculatedColumnFormula>
    </tableColumn>
    <tableColumn id="2" name="Q2">
      <calculatedColumnFormula>COUNTIFS(HCT6_CR[DATE ASSIGNED],"&gt;="&amp;DATE(YEAR(TODAY()),4,1),HCT6_CR[DATE ASSIGNED],"&lt;"&amp;DATE(YEAR(TODAY()),7,1))</calculatedColumnFormula>
    </tableColumn>
    <tableColumn id="3" name="Q3">
      <calculatedColumnFormula>COUNTIFS(HCT6_CR[DATE ASSIGNED],"&gt;="&amp;DATE(YEAR(TODAY()),7,1),HCT6_CR[DATE ASSIGNED],"&lt;"&amp;DATE(YEAR(TODAY()),10,1))</calculatedColumnFormula>
    </tableColumn>
    <tableColumn id="4" name="Q4">
      <calculatedColumnFormula>COUNTIFS(HCT6_CR[DATE ASSIGNED],"&gt;="&amp;DATE(YEAR(TODAY()),10,1),HCT6_CR[DATE ASSIGNED],"&lt;"&amp;DATE(YEAR(TODAY())+1,1,1))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L_KPI" displayName="RUL_KPI" ref="O17:R18" headerRowCount="1" totalsRowShown="0" headerRowDxfId="75" tableBorderDxfId="74">
  <autoFilter ref="O17:R18"/>
  <tableColumns count="4">
    <tableColumn id="1" name="Q1">
      <calculatedColumnFormula>COUNTIFS(HCT6_HL[RULING],"&gt;="&amp;DATE(YEAR(TODAY()),1,1),HCT6_HL[RULING],"&lt;"&amp;DATE(YEAR(TODAY()),4,1))</calculatedColumnFormula>
    </tableColumn>
    <tableColumn id="2" name="Q2">
      <calculatedColumnFormula>COUNTIFS(HCT6_HL[RULING],"&gt;="&amp;DATE(YEAR(TODAY()),4,1),HCT6_HL[RULING],"&lt;"&amp;DATE(YEAR(TODAY()),7,1))</calculatedColumnFormula>
    </tableColumn>
    <tableColumn id="3" name="Q3">
      <calculatedColumnFormula>COUNTIFS(HCT6_HL[RULING],"&gt;="&amp;DATE(YEAR(TODAY()),7,1),HCT6_HL[RULING],"&lt;"&amp;DATE(YEAR(TODAY()),10,1))</calculatedColumnFormula>
    </tableColumn>
    <tableColumn id="4" name="Q4">
      <calculatedColumnFormula>COUNTIFS(HCT6_HL[RULING],"&gt;="&amp;DATE(YEAR(TODAY()),10,1),HCT6_HL[RULING],"&lt;"&amp;DATE(YEAR(TODAY())+1,1,1))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JUD_KPI4" displayName="JUD_KPI4" ref="O24:R25" headerRowCount="1" totalsRowShown="0" headerRowDxfId="73" dataDxfId="72" tableBorderDxfId="71">
  <autoFilter ref="O24:R25"/>
  <tableColumns count="4">
    <tableColumn id="1" name="Q1" dataDxfId="70">
      <calculatedColumnFormula array="1">COUNTIFS(HCT6_HL[OUTCOME],"JUDGMENT DELIVERED")*(YEAR(HCT6_HL[DATE CONCLUDED]=$L$14)*(ROUNDUP(MONTH(HCT6_HL[DATE CONCLUDED])/3,0)=VALUE(RIGHT($M$14,1))))</calculatedColumnFormula>
    </tableColumn>
    <tableColumn id="2" name="Q2" dataDxfId="69">
      <calculatedColumnFormula array="1">COUNTIFS(HCT6_HL[OUTCOME],"JUDGMENT DELIVERED")*(YEAR(HCT6_HL[DATE CONCLUDED]=$L$14)*(ROUNDUP(MONTH(HCT6_HL[DATE CONCLUDED])/3,0)=VALUE(RIGHT($M$14,1))))</calculatedColumnFormula>
    </tableColumn>
    <tableColumn id="3" name="Q3" dataDxfId="68">
      <calculatedColumnFormula array="1">COUNTIFS(HCT6_HL[OUTCOME],"JUDGMENT DELIVERED")*(YEAR(HCT6_HL[DATE CONCLUDED]=$L$14)*(ROUNDUP(MONTH(HCT6_HL[DATE CONCLUDED])/3,0)=VALUE(RIGHT($M$14,1))))</calculatedColumnFormula>
    </tableColumn>
    <tableColumn id="4" name="Q4" dataDxfId="67">
      <calculatedColumnFormula array="1">COUNTIFS(HCT6_HL[OUTCOME],"JUDGMENT DELIVERED")*(YEAR(HCT6_HL[DATE CONCLUDED]=$L$14)*(ROUNDUP(MONTH(HCT6_HL[DATE CONCLUDED])/3,0)=VALUE(RIGHT($M$14,1))))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CT6_CR" displayName="HCT6_CR" ref="C13:X15" headerRowCount="1" totalsRowShown="0" headerRowDxfId="66" dataDxfId="65" headerRowCellStyle="Style 1 2">
  <autoFilter ref="C13:X15"/>
  <tableColumns count="22">
    <tableColumn id="1" name="S/N" dataDxfId="64" totalsRowDxfId="63">
      <calculatedColumnFormula array="1">IF(HCT6_CR[[#This Row],[SUIT NUMBER]]="","",ROW()-ROW(HCT6_CR[#Headers]))</calculatedColumnFormula>
    </tableColumn>
    <tableColumn id="2" name="SUIT NUMBER" dataDxfId="62" totalsRowDxfId="61"/>
    <tableColumn id="3" name="PARTIES" dataDxfId="60" totalsRowDxfId="59"/>
    <tableColumn id="4" name="CASE TYPE" dataDxfId="58" totalsRowDxfId="57"/>
    <tableColumn id="5" name="NATURE OF CLAIM" dataDxfId="56" totalsRowDxfId="55"/>
    <tableColumn id="18" name="PARTICULARS" dataDxfId="54" totalsRowDxfId="53"/>
    <tableColumn id="6" name="CLAIMANT COUNSEL" dataDxfId="52" totalsRowDxfId="51"/>
    <tableColumn id="7" name="PHONE NUMBER" dataDxfId="50" totalsRowDxfId="49"/>
    <tableColumn id="8" name="E-MAIL" dataDxfId="48" totalsRowDxfId="47" dataCellStyle="Hyperlink"/>
    <tableColumn id="9" name="DEFENDANT COUNSEL" dataDxfId="46" totalsRowDxfId="45"/>
    <tableColumn id="10" name="PHONE NUMBER2" dataDxfId="44" totalsRowDxfId="43"/>
    <tableColumn id="11" name="E-MAIL2" dataDxfId="42" totalsRowDxfId="41" dataCellStyle="Hyperlink"/>
    <tableColumn id="12" name="DATE FILED" dataDxfId="40" totalsRowDxfId="39"/>
    <tableColumn id="19" name="DATE ASSIGNED" dataDxfId="38" totalsRowDxfId="37"/>
    <tableColumn id="20" name="DATE TRIAL COMMENCED" dataDxfId="36" totalsRowDxfId="35"/>
    <tableColumn id="13" name="STATUS" dataDxfId="34" totalsRowDxfId="33"/>
    <tableColumn id="14" name="DETAILS" dataDxfId="32" totalsRowDxfId="31"/>
    <tableColumn id="15" name="CURRENT AGE OF CASE" dataDxfId="30" totalsRowDxfId="29">
      <calculatedColumnFormula>IF(HCT6_CR[[#This Row],[DATE FILED]]="","",ROUND(_xlfn.DAYS(TODAY(),HCT6_CR[[#This Row],[DATE FILED]])/365,1))</calculatedColumnFormula>
    </tableColumn>
    <tableColumn id="22" name="AGE DISPLAY" dataDxfId="28" totalsRowDxfId="27">
      <calculatedColumnFormula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calculatedColumnFormula>
    </tableColumn>
    <tableColumn id="16" name="DATE CONCLUDED" dataDxfId="26" totalsRowDxfId="25"/>
    <tableColumn id="17" name="AGE WHEN CONCLUDED" dataDxfId="24" totalsRowDxfId="23">
      <calculatedColumnFormula>IF(HCT6_CR[[#This Row],[DATE FILED]]="","",IF(HCT6_CR[[#This Row],[DATE CONCLUDED]]="","ON GOING",DATEDIF(HCT6_CR[[#This Row],[DATE FILED]],HCT6_CR[[#This Row],[DATE CONCLUDED]],"Y")))</calculatedColumnFormula>
    </tableColumn>
    <tableColumn id="21" name="AVERAGE AGE " dataDxfId="22" totalsRowDxfId="21">
      <calculatedColumnFormula>IFERROR(AVERAGEIFS(HCT6_CR[[#This Row],[CURRENT AGE OF CASE]],HCT6_CR[[#This Row],[STATUS]],"ACTIVE",HCT6_CR[[#This Row],[CURRENT AGE OF CASE]],"&gt;0"),0)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CT6_HL" displayName="HCT6_HL" ref="B12:O19" headerRowCount="1" totalsRowShown="0" headerRowDxfId="20" dataDxfId="19" headerRowCellStyle="Style 1 2">
  <autoFilter ref="B12:O19"/>
  <tableColumns count="14">
    <tableColumn id="1" name="S/N" dataDxfId="18">
      <calculatedColumnFormula array="1">IF(HCT6_HL[[#This Row],[SUIT NUMBER]]="","",ROW()-ROW(HCT6_HL[#Headers]))</calculatedColumnFormula>
    </tableColumn>
    <tableColumn id="2" name="SUIT NUMBER" dataDxfId="17"/>
    <tableColumn id="3" name="PARTIES" dataDxfId="16">
      <calculatedColumnFormula array="1">_xlfn.XLOOKUP(HCT6_HL[[#This Row],[SUIT NUMBER]],HCT6_CR[SUIT NUMBER],UPPER(HCT6_CR[PARTIES]),"")&amp;""</calculatedColumnFormula>
    </tableColumn>
    <tableColumn id="4" name="CLAIMANT COUNSEL" dataDxfId="15">
      <calculatedColumnFormula array="1">_xlfn.XLOOKUP(HCT6_HL[[#This Row],[SUIT NUMBER]],HCT6_CR[SUIT NUMBER],UPPER(HCT6_CR[CLAIMANT COUNSEL]),"")&amp;""</calculatedColumnFormula>
    </tableColumn>
    <tableColumn id="5" name="DEFENDANT COUNSEL" dataDxfId="14">
      <calculatedColumnFormula array="1">_xlfn.XLOOKUP(HCT6_HL[[#This Row],[SUIT NUMBER]],HCT6_CR[SUIT NUMBER],UPPER(HCT6_CR[DEFENDANT COUNSEL]),"")&amp;""</calculatedColumnFormula>
    </tableColumn>
    <tableColumn id="8" name="CASE TYPE" dataDxfId="13">
      <calculatedColumnFormula array="1">_xlfn.XLOOKUP(HCT6_HL[[#This Row],[SUIT NUMBER]],HCT6_CR[SUIT NUMBER],UPPER(HCT6_CR[CASE TYPE]),"")&amp;""</calculatedColumnFormula>
    </tableColumn>
    <tableColumn id="18" name="NATURE OF CLAIM/CRIME" dataDxfId="12">
      <calculatedColumnFormula array="1">_xlfn.XLOOKUP(HCT6_HL[[#This Row],[SUIT NUMBER]],HCT6_CR[SUIT NUMBER],UPPER(HCT6_CR[NATURE OF CLAIM]),"")&amp;""</calculatedColumnFormula>
    </tableColumn>
    <tableColumn id="9" name="HEARING DATE" dataDxfId="11"/>
    <tableColumn id="14" name="PURPOSE" dataDxfId="10"/>
    <tableColumn id="15" name="OUTCOME" dataDxfId="9"/>
    <tableColumn id="16" name="NEXT ACTION" dataDxfId="8"/>
    <tableColumn id="17" name="NEXT DATE" dataDxfId="7"/>
    <tableColumn id="6" name="RULING" dataDxfId="6"/>
    <tableColumn id="10" name="DATE CONCLUD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FFE2A700"/>
    <outlinePr summaryBelow="1" summaryRight="1"/>
    <pageSetUpPr/>
  </sheetPr>
  <dimension ref="D1:K1"/>
  <sheetViews>
    <sheetView showGridLines="0" showRowColHeaders="0" tabSelected="1" topLeftCell="B1" workbookViewId="0">
      <selection activeCell="A1" sqref="A1"/>
    </sheetView>
  </sheetViews>
  <sheetFormatPr baseColWidth="8" defaultRowHeight="15"/>
  <cols>
    <col width="25.828125" bestFit="1" customWidth="1" min="4" max="4"/>
    <col width="20.17578125" bestFit="1" customWidth="1" min="7" max="7"/>
    <col width="10.76171875" bestFit="1" customWidth="1" min="8" max="8"/>
    <col width="23.9453125" bestFit="1" customWidth="1" min="9" max="9"/>
    <col width="23.5390625" bestFit="1" customWidth="1" min="10" max="10"/>
  </cols>
  <sheetData>
    <row r="1">
      <c r="D1" s="265">
        <f>_xlfn.UNICHAR(128257) &amp;" UPDATE CASE REGISTER"</f>
        <v/>
      </c>
      <c r="E1" s="265">
        <f>_xlfn.UNICHAR(128209)&amp;" HEARING LOG"</f>
        <v/>
      </c>
      <c r="F1" s="265" t="n"/>
      <c r="G1" s="265">
        <f>_xlfn.UNICHAR(128196) &amp; " AUTO CAUSE LIST"</f>
        <v/>
      </c>
      <c r="H1" s="265">
        <f>_xlfn.UNICHAR(8505) &amp; " INSIGHTS"</f>
        <v/>
      </c>
      <c r="I1" s="266">
        <f>_xlfn.UNICHAR(128100)&amp; "  COUNSEL DIRECTORY"</f>
        <v/>
      </c>
      <c r="J1" s="266">
        <f>_xlfn.UNICHAR(9997) &amp; "     QUARTERLY REPORTS"</f>
        <v/>
      </c>
      <c r="K1" s="267" t="n"/>
    </row>
  </sheetData>
  <hyperlinks>
    <hyperlink ref="D1" location="'CASE REGISTER'!A1" display="CASE REGISTER"/>
    <hyperlink ref="E1" location="'HEARING LOG'!A1" display="HEARING LOG"/>
    <hyperlink ref="G1" location="'AUTO CAUSE LIST'!A1" display="AUTO CAUSE LIST"/>
    <hyperlink ref="H1" location="INSIGHTS!A1" display="INSIGHTS"/>
    <hyperlink ref="I1" location="'COUNSEL DIRECTORY'!A1" tooltip="COUNSEL DIRECTORY" display="'COUNSEL DIRECTORY'!A1"/>
    <hyperlink ref="J1" location="'QUARTER REPORT'!A1" tooltip="QUARTERLY REPORT" display="'QUARTER REPORT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X79"/>
  <sheetViews>
    <sheetView showGridLines="0" showRowColHeaders="0" workbookViewId="0">
      <pane ySplit="15" topLeftCell="A16" activePane="bottomLeft" state="frozen"/>
      <selection pane="bottomLeft" activeCell="G1" sqref="G1"/>
    </sheetView>
  </sheetViews>
  <sheetFormatPr baseColWidth="8" defaultColWidth="9.14453125" defaultRowHeight="15"/>
  <cols>
    <col width="9.14453125" customWidth="1" style="121" min="1" max="1"/>
    <col width="41.8359375" customWidth="1" style="121" min="2" max="2"/>
    <col width="25.828125" bestFit="1" customWidth="1" style="121" min="3" max="3"/>
    <col width="44.52734375" customWidth="1" style="121" min="4" max="4"/>
    <col width="20.17578125" bestFit="1" customWidth="1" style="121" min="5" max="5"/>
    <col width="10.76171875" bestFit="1" customWidth="1" style="121" min="6" max="6"/>
    <col width="9.14453125" customWidth="1" style="121" min="7" max="16384"/>
  </cols>
  <sheetData>
    <row r="1">
      <c r="A1" s="272" t="n"/>
      <c r="B1" s="122">
        <f>_xlfn.UNICHAR(127968) &amp; " HOME"</f>
        <v/>
      </c>
      <c r="C1" s="122">
        <f>_xlfn.UNICHAR(128257) &amp;" UPDATE CASE REGISTER"</f>
        <v/>
      </c>
      <c r="D1" s="122">
        <f>_xlfn.UNICHAR(128209)&amp;" HEARING LOG"</f>
        <v/>
      </c>
      <c r="E1" s="122">
        <f>_xlfn.UNICHAR(128196) &amp; " AUTO CAUSE LIST"</f>
        <v/>
      </c>
      <c r="F1" s="122">
        <f>_xlfn.UNICHAR(8505) &amp; " INSIGHTS"</f>
        <v/>
      </c>
      <c r="G1" s="214">
        <f>_xlfn.UNICHAR(9997) &amp; "     QUARTERLY REPORTS"</f>
        <v/>
      </c>
    </row>
    <row r="2">
      <c r="A2" s="123" t="n"/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</row>
    <row r="3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</row>
    <row r="4">
      <c r="A4" s="123" t="n"/>
      <c r="B4" s="123" t="n"/>
      <c r="C4" s="123" t="n"/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</row>
    <row r="5">
      <c r="A5" s="123" t="n"/>
      <c r="B5" s="123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</row>
    <row r="6">
      <c r="A6" s="123" t="n"/>
      <c r="B6" s="123" t="n"/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</row>
    <row r="7">
      <c r="A7" s="123" t="n"/>
      <c r="B7" s="123" t="n"/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</row>
    <row r="8">
      <c r="A8" s="123" t="n"/>
      <c r="B8" s="123" t="n"/>
      <c r="C8" s="123" t="n"/>
      <c r="D8" s="123" t="n"/>
      <c r="E8" s="123" t="n"/>
      <c r="F8" s="123" t="n"/>
      <c r="G8" s="123" t="n"/>
      <c r="H8" s="123" t="n"/>
      <c r="I8" s="123" t="n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</row>
    <row r="9">
      <c r="A9" s="123" t="n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</row>
    <row r="10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</row>
    <row r="11">
      <c r="A11" s="123" t="n"/>
      <c r="B11" s="123" t="n"/>
      <c r="C11" s="123" t="n"/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</row>
    <row r="12">
      <c r="A12" s="123" t="n"/>
      <c r="B12" s="123" t="n"/>
      <c r="C12" s="123" t="n"/>
      <c r="D12" s="123" t="n"/>
      <c r="E12" s="123" t="n"/>
      <c r="F12" s="123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</row>
    <row r="13">
      <c r="A13" s="123" t="n"/>
      <c r="B13" s="123" t="n"/>
      <c r="C13" s="123" t="n"/>
      <c r="D13" s="123" t="n"/>
      <c r="E13" s="123" t="n"/>
      <c r="F13" s="123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</row>
    <row r="14">
      <c r="A14" s="123" t="n"/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</row>
    <row r="15" ht="18.75" customHeight="1" thickBot="1">
      <c r="A15" s="123" t="n"/>
      <c r="B15" s="148">
        <f>_xlfn.UNICHAR(128100)&amp; "   COUNSEL NAME"</f>
        <v/>
      </c>
      <c r="C15" s="253">
        <f>_xlfn.UNICHAR(9742)&amp; "  PHONE NUMBER"</f>
        <v/>
      </c>
      <c r="D15" s="148">
        <f>_xlfn.UNICHAR(9993)&amp;"  E-MAIL"</f>
        <v/>
      </c>
      <c r="E15" s="123" t="n"/>
      <c r="F15" s="123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</row>
    <row r="16" ht="15.75" customHeight="1" thickTop="1">
      <c r="A16" s="125">
        <f>IF(B16="","",COUNTA(B$16:$B16))</f>
        <v/>
      </c>
      <c r="B16" s="254">
        <f t="array" ref="B16">IFERROR(_xlfn.LET(
_xlpm.claimant, _xlfn.CHOOSECOLS(HCT6_CR[],7,8,9),
_xlpm.defendant, _xlfn.CHOOSECOLS(HCT6_CR[],10,11,12),
_xlpm.all_counsel,_xlfn.VSTACK(_xlpm.claimant, _xlpm.defendant),
_xlpm.nonblank, _xlfn._xlws.FILTER(_xlpm.all_counsel,_xlfn.CHOOSECOLS(_xlpm.all_counsel,1)&lt;&gt; ""),
_xlpm.unique_names, _xlfn.UNIQUE(_xlfn.CHOOSECOLS(_xlpm.nonblank,1)),
_xlpm.phone_lookup, _xlfn.XLOOKUP(_xlpm.unique_names,_xlfn.CHOOSECOLS(_xlpm.nonblank,1),_xlfn.CHOOSECOLS(_xlpm.nonblank,2),""),
_xlpm.email_lookup, _xlfn.XLOOKUP(_xlpm.unique_names, _xlfn.CHOOSECOLS(_xlpm.nonblank,1),_xlfn.CHOOSECOLS(_xlpm.nonblank,3),""),
_xlfn.HSTACK(UPPER(_xlpm.unique_names),_xlpm.phone_lookup,LOWER(_xlpm.email_lookup))
),
"")</f>
        <v/>
      </c>
      <c r="C16" s="249" t="n"/>
      <c r="D16" s="249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</row>
    <row r="17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</row>
    <row r="18">
      <c r="A18" s="123" t="n"/>
      <c r="B18" s="123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</row>
    <row r="19">
      <c r="A19" s="123" t="n"/>
      <c r="B19" s="12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</row>
    <row r="20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</row>
    <row r="21">
      <c r="A21" s="123" t="n"/>
      <c r="B21" s="12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</row>
    <row r="22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</row>
    <row r="23">
      <c r="A23" s="123" t="n"/>
      <c r="B23" s="12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</row>
    <row r="24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</row>
    <row r="25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</row>
    <row r="2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</row>
    <row r="27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</row>
    <row r="28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</row>
    <row r="29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</row>
    <row r="30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</row>
    <row r="3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</row>
    <row r="32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</row>
    <row r="33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</row>
    <row r="34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</row>
    <row r="35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</row>
    <row r="36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</row>
    <row r="37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</row>
    <row r="38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</row>
    <row r="39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</row>
    <row r="4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</row>
    <row r="43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</row>
    <row r="45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</row>
    <row r="47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</row>
    <row r="49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</row>
    <row r="53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</row>
    <row r="63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</row>
    <row r="69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</row>
    <row r="71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</row>
    <row r="73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</row>
    <row r="7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</row>
    <row r="77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</row>
    <row r="79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nWaXlaUKWAba9dW+bdX8w==" formatRows="1" sort="1" spinCount="100000" hashValue="IlOJeIHJ+ug6zW9GWOnwbbeBnHOlZyQx1tOGu/gNuIiHqNZd03Grs2apIuJxeh7oXiyICbarrbEO/H4toTUHEA=="/>
  <autoFilter ref="A15:D16"/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QUARTER REPORT'!A1" tooltip="QUARTERLY REPORT" display="'QUARTER REPOR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139"/>
  <sheetViews>
    <sheetView showGridLines="0" showRowColHeaders="0" zoomScale="80" zoomScaleNormal="80" workbookViewId="0">
      <pane ySplit="13" topLeftCell="A93" activePane="bottomLeft" state="frozen"/>
      <selection pane="bottomLeft" activeCell="B1" sqref="B1"/>
    </sheetView>
  </sheetViews>
  <sheetFormatPr baseColWidth="8" defaultColWidth="9.14453125" defaultRowHeight="15"/>
  <cols>
    <col width="9.14453125" customWidth="1" style="272" min="1" max="1"/>
    <col width="11.8359375" bestFit="1" customWidth="1" style="272" min="2" max="2"/>
    <col width="25.828125" bestFit="1" customWidth="1" style="272" min="3" max="3"/>
    <col width="68.3359375" bestFit="1" customWidth="1" style="272" min="4" max="4"/>
    <col width="20.17578125" bestFit="1" customWidth="1" style="272" min="5" max="5"/>
    <col width="27.98046875" bestFit="1" customWidth="1" style="272" min="6" max="6"/>
    <col width="23.9453125" bestFit="1" customWidth="1" style="272" min="7" max="7"/>
    <col width="9.14453125" customWidth="1" style="272" min="8" max="9"/>
    <col width="16.140625" bestFit="1" customWidth="1" style="272" min="10" max="10"/>
    <col width="9.14453125" customWidth="1" style="272" min="11" max="11"/>
    <col width="10.0859375" bestFit="1" customWidth="1" style="272" min="12" max="12"/>
    <col width="16.94921875" bestFit="1" customWidth="1" style="272" min="13" max="13"/>
    <col width="9.14453125" customWidth="1" style="272" min="14" max="16384"/>
  </cols>
  <sheetData>
    <row r="1">
      <c r="B1" s="216">
        <f>_xlfn.UNICHAR(127968)&amp;"     HOME"</f>
        <v/>
      </c>
      <c r="C1" s="52">
        <f>_xlfn.UNICHAR(128257) &amp;" UPDATE CASE REGISTER"</f>
        <v/>
      </c>
      <c r="D1" s="52">
        <f>_xlfn.UNICHAR(128209)&amp;" HEARING LOG"</f>
        <v/>
      </c>
      <c r="E1" s="52">
        <f>_xlfn.UNICHAR(128196) &amp; " AUTO CAUSE LIST"</f>
        <v/>
      </c>
      <c r="F1" s="52">
        <f>_xlfn.UNICHAR(8505) &amp; " INSIGHTS"</f>
        <v/>
      </c>
      <c r="G1" s="218">
        <f>_xlfn.UNICHAR(128100)&amp; "  COUNSEL DIRECTORY"</f>
        <v/>
      </c>
    </row>
    <row r="14">
      <c r="C14" s="219" t="n">
        <v>1</v>
      </c>
      <c r="D14" s="270" t="inlineStr">
        <is>
          <t>PARTICULARS OF THE JUDGE</t>
        </is>
      </c>
      <c r="E14" s="272" t="n"/>
      <c r="F14" s="272" t="n"/>
      <c r="P14" s="220" t="n"/>
    </row>
    <row r="15" ht="15.75" customHeight="1" thickBot="1">
      <c r="C15" s="219" t="n"/>
      <c r="P15" s="220" t="n"/>
    </row>
    <row r="16" ht="15.75" customHeight="1" thickBot="1">
      <c r="C16" s="219" t="n"/>
      <c r="D16" s="272" t="inlineStr">
        <is>
          <t>NAME OF JUDGE:</t>
        </is>
      </c>
      <c r="F16" s="240" t="inlineStr">
        <is>
          <t>HON. JUST. E. N. THOMPSON</t>
        </is>
      </c>
      <c r="I16" s="272" t="inlineStr">
        <is>
          <t>COURT:</t>
        </is>
      </c>
      <c r="J16" s="240" t="inlineStr">
        <is>
          <t>HIGH COURT</t>
        </is>
      </c>
      <c r="L16" s="272" t="inlineStr">
        <is>
          <t>DIVISION :</t>
        </is>
      </c>
      <c r="M16" s="240" t="inlineStr">
        <is>
          <t>PORT HARCOURT</t>
        </is>
      </c>
      <c r="P16" s="220" t="n"/>
    </row>
    <row r="17">
      <c r="C17" s="219" t="n"/>
      <c r="P17" s="220" t="n"/>
    </row>
    <row r="18" ht="15.75" customHeight="1" thickBot="1">
      <c r="C18" s="219" t="n"/>
      <c r="G18" s="272" t="inlineStr">
        <is>
          <t>YEAR</t>
        </is>
      </c>
      <c r="I18" s="272" t="inlineStr">
        <is>
          <t>QUARTER</t>
        </is>
      </c>
      <c r="P18" s="220" t="n"/>
    </row>
    <row r="19" ht="15.75" customHeight="1" thickBot="1">
      <c r="C19" s="219" t="n"/>
      <c r="D19" s="272" t="inlineStr">
        <is>
          <t>QUARTER UNDER REVIEW</t>
        </is>
      </c>
      <c r="G19" s="241" t="n">
        <v>2026</v>
      </c>
      <c r="I19" s="242" t="inlineStr">
        <is>
          <t>Q1</t>
        </is>
      </c>
      <c r="P19" s="220" t="n"/>
    </row>
    <row r="20">
      <c r="C20" s="219" t="n"/>
      <c r="P20" s="220" t="n"/>
    </row>
    <row r="21">
      <c r="C21" s="219" t="n"/>
      <c r="P21" s="220" t="n"/>
    </row>
    <row r="22">
      <c r="C22" s="219" t="n"/>
      <c r="D22" s="272" t="inlineStr">
        <is>
          <t>REPORTING PERIOD</t>
        </is>
      </c>
      <c r="G22" s="272" t="inlineStr">
        <is>
          <t>FROM</t>
        </is>
      </c>
      <c r="I22" s="272" t="inlineStr">
        <is>
          <t>TO</t>
        </is>
      </c>
      <c r="P22" s="220" t="n"/>
    </row>
    <row r="23">
      <c r="C23" s="219" t="n"/>
      <c r="P23" s="220" t="n"/>
    </row>
    <row r="24">
      <c r="C24" s="219" t="n"/>
      <c r="P24" s="220" t="n"/>
    </row>
    <row r="25">
      <c r="C25" s="219" t="n">
        <v>2</v>
      </c>
      <c r="D25" s="271" t="inlineStr">
        <is>
          <t>EXECUTIVE SUMMARY</t>
        </is>
      </c>
      <c r="E25" s="272" t="n"/>
      <c r="F25" s="272" t="n"/>
      <c r="P25" s="220" t="n"/>
    </row>
    <row r="26">
      <c r="C26" s="219" t="n"/>
      <c r="P26" s="220" t="n"/>
    </row>
    <row r="27">
      <c r="C27" s="219" t="n"/>
      <c r="D27" s="272" t="inlineStr">
        <is>
          <t>THIS RETURN REFLECTS THE JUDICIAL ACTITVITY UNDERTAKEN WITHIN THRE ABOVE STATED PERIOD</t>
        </is>
      </c>
      <c r="E27" s="272" t="n"/>
      <c r="F27" s="272" t="n"/>
      <c r="G27" s="272" t="n"/>
      <c r="H27" s="272" t="n"/>
      <c r="I27" s="272" t="n"/>
      <c r="J27" s="272" t="n"/>
      <c r="K27" s="272" t="n"/>
      <c r="L27" s="272" t="n"/>
      <c r="M27" s="272" t="n"/>
      <c r="P27" s="220" t="n"/>
    </row>
    <row r="28">
      <c r="C28" s="219" t="n"/>
      <c r="D28" s="272" t="inlineStr">
        <is>
          <t>INCLUDING JUDGMENTS DELIVERED, RULINGS ISSUED, CASES HEARD, MATTERS CONCLUDED AND</t>
        </is>
      </c>
      <c r="E28" s="272" t="n"/>
      <c r="F28" s="272" t="n"/>
      <c r="G28" s="272" t="n"/>
      <c r="H28" s="272" t="n"/>
      <c r="I28" s="272" t="n"/>
      <c r="J28" s="272" t="n"/>
      <c r="K28" s="272" t="n"/>
      <c r="L28" s="272" t="n"/>
      <c r="M28" s="272" t="n"/>
      <c r="P28" s="220" t="n"/>
    </row>
    <row r="29">
      <c r="C29" s="219" t="n"/>
      <c r="D29" s="272" t="inlineStr">
        <is>
          <t xml:space="preserve">PENDING DOCKETS. </t>
        </is>
      </c>
      <c r="E29" s="272" t="n"/>
      <c r="F29" s="272" t="n"/>
      <c r="G29" s="272" t="n"/>
      <c r="H29" s="272" t="n"/>
      <c r="I29" s="272" t="n"/>
      <c r="J29" s="272" t="n"/>
      <c r="K29" s="272" t="n"/>
      <c r="L29" s="272" t="n"/>
      <c r="P29" s="220" t="n"/>
    </row>
    <row r="30">
      <c r="C30" s="219" t="n"/>
      <c r="D30" s="272" t="inlineStr">
        <is>
          <t>IT IS SUBMITTED IN COMPLIANCE WITH THE GUIDELINES OF THE NATIONAL JUDICIAL COUNCIL</t>
        </is>
      </c>
      <c r="E30" s="272" t="n"/>
      <c r="F30" s="272" t="n"/>
      <c r="G30" s="272" t="n"/>
      <c r="H30" s="272" t="n"/>
      <c r="I30" s="272" t="n"/>
      <c r="J30" s="272" t="n"/>
      <c r="K30" s="272" t="n"/>
      <c r="L30" s="272" t="n"/>
      <c r="P30" s="220" t="n"/>
    </row>
    <row r="31">
      <c r="C31" s="219" t="n"/>
      <c r="P31" s="220" t="n"/>
    </row>
    <row r="32">
      <c r="C32" s="219" t="n">
        <v>3</v>
      </c>
      <c r="D32" s="273" t="inlineStr">
        <is>
          <t>STATISTICAL SUMMARY OF CASES</t>
        </is>
      </c>
      <c r="E32" s="272" t="n"/>
      <c r="F32" s="272" t="n"/>
      <c r="G32" s="272" t="n"/>
      <c r="P32" s="220" t="n"/>
    </row>
    <row r="33">
      <c r="C33" s="219" t="n"/>
      <c r="D33" s="273" t="inlineStr">
        <is>
          <t>(A) CASES ASSIGNED DURING THE QUARTER</t>
        </is>
      </c>
      <c r="E33" s="273" t="n"/>
      <c r="F33" s="273" t="n"/>
      <c r="G33" s="273" t="n"/>
      <c r="P33" s="220" t="n"/>
    </row>
    <row r="34" ht="15.75" customHeight="1" thickBot="1">
      <c r="C34" s="219" t="n"/>
      <c r="D34" s="273" t="n"/>
      <c r="E34" s="273" t="n"/>
      <c r="F34" s="273" t="n"/>
      <c r="G34" s="273" t="n"/>
      <c r="P34" s="220" t="n"/>
    </row>
    <row r="35" ht="17.25" customHeight="1" thickBot="1">
      <c r="C35" s="219" t="n"/>
      <c r="D35" s="272" t="inlineStr">
        <is>
          <t>NEW CASES ASSIGNED</t>
        </is>
      </c>
      <c r="G35" s="247">
        <f>COUNTIFS(HCT6_CR[DATE ASSIGNED],"&gt;=" &amp;DATE($G$19,(VALUE(RIGHT($I$19,1))-1)*3+1,1),
        HCT6_CR[DATE ASSIGNED], "&lt;=" &amp;DATE($G$19,(VALUE(RIGHT($I$19,1))-1)*3+4,1)
)</f>
        <v/>
      </c>
      <c r="I35" s="193" t="n"/>
      <c r="P35" s="220" t="n"/>
    </row>
    <row r="36">
      <c r="C36" s="219" t="n"/>
      <c r="P36" s="220" t="n"/>
    </row>
    <row r="37" ht="15.75" customHeight="1" thickBot="1">
      <c r="C37" s="219" t="n"/>
      <c r="D37" s="272" t="inlineStr">
        <is>
          <t xml:space="preserve">CASES CARRIED OVER </t>
        </is>
      </c>
      <c r="E37" s="272" t="n"/>
      <c r="F37" s="272" t="n"/>
      <c r="P37" s="220" t="n"/>
    </row>
    <row r="38" ht="15.75" customHeight="1" thickBot="1">
      <c r="C38" s="219" t="n"/>
      <c r="D38" s="272" t="inlineStr">
        <is>
          <t>FROM PREVIOUS QUARTER</t>
        </is>
      </c>
      <c r="G38" s="222">
        <f>COUNTIF(HCT6_CR[STATUS],"ACTIVE")</f>
        <v/>
      </c>
      <c r="P38" s="220" t="n"/>
    </row>
    <row r="39">
      <c r="C39" s="219" t="n"/>
      <c r="P39" s="220" t="n"/>
    </row>
    <row r="40">
      <c r="C40" s="219" t="n"/>
      <c r="P40" s="220" t="n"/>
    </row>
    <row r="41" ht="15.75" customHeight="1" thickBot="1">
      <c r="C41" s="219" t="n"/>
      <c r="D41" s="223" t="inlineStr">
        <is>
          <t>(B) CASES CONCLUDED</t>
        </is>
      </c>
      <c r="P41" s="220" t="n"/>
    </row>
    <row r="42" ht="15.75" customHeight="1" thickBot="1">
      <c r="C42" s="219" t="n"/>
      <c r="D42" s="272" t="inlineStr">
        <is>
          <t xml:space="preserve">JUDGMENTS DELIVERED </t>
        </is>
      </c>
      <c r="E42" s="272" t="inlineStr">
        <is>
          <t>(CONTESTED )</t>
        </is>
      </c>
      <c r="G42" s="224">
        <f t="array" ref="G42">COUNTIF(
HCT6_HL[OUTCOME],"JUDGMENT DELIVERED")*
(YEAR(HCT6_HL[DATE CONCLUDED])=$G$19)*
(ROUNDUP(MONTH(HCT6_HL[DATE CONCLUDED])/3,0)=VALUE(RIGHT($I$19,1)))</f>
        <v/>
      </c>
      <c r="P42" s="220" t="n"/>
    </row>
    <row r="43" ht="15.75" customHeight="1" thickBot="1">
      <c r="C43" s="219" t="n"/>
      <c r="D43" s="272" t="inlineStr">
        <is>
          <t xml:space="preserve">JUDGMENTS DELIVERED </t>
        </is>
      </c>
      <c r="E43" s="272" t="inlineStr">
        <is>
          <t>(UNCONTESTED)</t>
        </is>
      </c>
      <c r="P43" s="220" t="n"/>
    </row>
    <row r="44" ht="15.75" customHeight="1" thickBot="1">
      <c r="C44" s="219" t="n"/>
      <c r="D44" s="272" t="inlineStr">
        <is>
          <t>RULING DELIVERED</t>
        </is>
      </c>
      <c r="G44" s="225">
        <f t="array" ref="G44">COUNTIF(
HCT6_HL[OUTCOME],"RULING DELIVERED")*
(YEAR(HCT6_HL[DATE CONCLUDED])=$G$19)*
(ROUNDUP(MONTH(HCT6_HL[DATE CONCLUDED])/3,0)=VALUE(RIGHT($I$19,1)))</f>
        <v/>
      </c>
      <c r="P44" s="220" t="n"/>
    </row>
    <row r="45" ht="15.75" customHeight="1" thickBot="1">
      <c r="C45" s="219" t="n"/>
      <c r="D45" s="272" t="inlineStr">
        <is>
          <t>MATTERS STRUCK OUT</t>
        </is>
      </c>
      <c r="G45" s="226">
        <f t="array" ref="G45">COUNTIF(
HCT6_HL[OUTCOME],"STRUCK OUT")*
(YEAR(HCT6_HL[HEARING DATE])=$G$19)*
(ROUNDUP(MONTH(HCT6_HL[HEARING DATE])/3,0)=VALUE(RIGHT($I$19,1)))</f>
        <v/>
      </c>
      <c r="P45" s="220" t="n"/>
    </row>
    <row r="46" ht="15.75" customHeight="1" thickBot="1">
      <c r="C46" s="219" t="n"/>
      <c r="D46" s="272" t="inlineStr">
        <is>
          <t>MATTERS WITHDRAWN</t>
        </is>
      </c>
      <c r="G46" s="227">
        <f t="array" ref="G46">COUNTIF(
HCT6_HL[OUTCOME],"WITHDRAWN")*
(YEAR(HCT6_HL[HEARING DATE])=$G$19)*
(ROUNDUP(MONTH(HCT6_HL[HEARING DATE])/3,0)=VALUE(RIGHT($I$19,1)))</f>
        <v/>
      </c>
      <c r="P46" s="220" t="n"/>
    </row>
    <row r="47">
      <c r="C47" s="219" t="n"/>
      <c r="D47" s="272" t="inlineStr">
        <is>
          <t>MATTERS SETTLED</t>
        </is>
      </c>
      <c r="P47" s="220" t="n"/>
    </row>
    <row r="48">
      <c r="C48" s="219" t="n"/>
      <c r="P48" s="220" t="n"/>
    </row>
    <row r="49">
      <c r="C49" s="219" t="n"/>
      <c r="P49" s="220" t="n"/>
    </row>
    <row r="50" ht="15.75" customHeight="1" thickBot="1">
      <c r="C50" s="219" t="n"/>
      <c r="D50" s="52" t="inlineStr">
        <is>
          <t>(C ) PENDING MATTERS</t>
        </is>
      </c>
      <c r="P50" s="220" t="n"/>
    </row>
    <row r="51" ht="15.75" customHeight="1" thickBot="1">
      <c r="C51" s="219" t="n"/>
      <c r="D51" s="272" t="inlineStr">
        <is>
          <t>TOTAL PENDING CASES AT END OF QUARTER</t>
        </is>
      </c>
      <c r="G51" s="228">
        <f t="array" ref="G51">COUNTIF(
HCT6_HL[PURPOSE],"HEARING")*
(YEAR(HCT6_HL[HEARING DATE])=$G$19)*
(ROUNDUP(MONTH(HCT6_HL[HEARING DATE])/3,0)=VALUE(RIGHT($I$19,1)))</f>
        <v/>
      </c>
      <c r="P51" s="220" t="n"/>
    </row>
    <row r="52" ht="15.75" customHeight="1" thickBot="1">
      <c r="C52" s="219" t="n"/>
      <c r="D52" s="272" t="inlineStr">
        <is>
          <t>CASES PENDING FOR OVER ONE YEAR</t>
        </is>
      </c>
      <c r="G52" s="229">
        <f>COUNTIF(HCT6_CR[CURRENT AGE OF CASE],"&gt;=1")</f>
        <v/>
      </c>
      <c r="P52" s="220" t="n"/>
    </row>
    <row r="53" ht="15.75" customHeight="1" thickBot="1">
      <c r="C53" s="219" t="n"/>
      <c r="D53" s="272" t="inlineStr">
        <is>
          <t>CASES PENDING FOR OVER FIVE YEARS</t>
        </is>
      </c>
      <c r="G53" s="230">
        <f>COUNTIF(HCT6_CR[CURRENT AGE OF CASE],"&lt;=5")</f>
        <v/>
      </c>
      <c r="P53" s="220" t="n"/>
    </row>
    <row r="54">
      <c r="C54" s="219" t="n"/>
      <c r="P54" s="220" t="n"/>
    </row>
    <row r="55">
      <c r="C55" s="219" t="n"/>
      <c r="D55" s="272" t="inlineStr">
        <is>
          <t>DETAILS OF JUDGMENTS DELIVERED</t>
        </is>
      </c>
      <c r="P55" s="220" t="n"/>
    </row>
    <row r="56">
      <c r="C56" s="219" t="n"/>
      <c r="P56" s="220" t="n"/>
    </row>
    <row r="57" ht="16.5" customHeight="1">
      <c r="C57" s="219" t="n"/>
      <c r="D57" s="231">
        <f t="array" ref="D57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57" s="220" t="n"/>
    </row>
    <row r="58">
      <c r="C58" s="219" t="n"/>
      <c r="P58" s="220" t="n"/>
    </row>
    <row r="59">
      <c r="C59" s="219" t="n"/>
      <c r="P59" s="220" t="n"/>
    </row>
    <row r="60">
      <c r="C60" s="219" t="n"/>
      <c r="P60" s="220" t="n"/>
    </row>
    <row r="61">
      <c r="C61" s="219" t="n"/>
      <c r="P61" s="220" t="n"/>
    </row>
    <row r="62">
      <c r="C62" s="219" t="n"/>
      <c r="P62" s="220" t="n"/>
    </row>
    <row r="63">
      <c r="C63" s="219" t="n"/>
      <c r="P63" s="220" t="n"/>
    </row>
    <row r="64">
      <c r="C64" s="219" t="n"/>
      <c r="P64" s="220" t="n"/>
    </row>
    <row r="65">
      <c r="C65" s="219" t="n"/>
      <c r="P65" s="220" t="n"/>
    </row>
    <row r="66">
      <c r="C66" s="219" t="n"/>
      <c r="P66" s="220" t="n"/>
    </row>
    <row r="67">
      <c r="C67" s="219" t="n"/>
      <c r="D67" s="272" t="inlineStr">
        <is>
          <t>DETAILS OF RULING DELIVERED</t>
        </is>
      </c>
      <c r="P67" s="220" t="n"/>
    </row>
    <row r="68">
      <c r="C68" s="219" t="n"/>
      <c r="P68" s="220" t="n"/>
    </row>
    <row r="69" ht="16.5" customHeight="1">
      <c r="C69" s="219" t="n"/>
      <c r="D69" s="231">
        <f t="array" ref="D69">_xlfn._xlws.FILTER(
_xlfn.HSTACK(
HCT6_HL[SUIT NUMBER],
HCT6_HL[PARTIES],
HCT6_HL[CASE TYPE],
HCT6_HL[NATURE OF CLAIM/CRIME],
HCT6_HL[DATE CONCLUDED]
),
(HCT6_HL[OUTCOME]="JUDGMENT DELIVERED")*
(YEAR(HCT6_HL[DATE CONCLUDED])=$G$19)*
(ROUNDUP(MONTH(HCT6_HL[DATE CONCLUDED])/3,0)=VALUE(RIGHT($I$19,1))),
"NO DATA PROVIDED YET"
)</f>
        <v/>
      </c>
      <c r="P69" s="220" t="n"/>
    </row>
    <row r="70">
      <c r="C70" s="219" t="n"/>
      <c r="P70" s="220" t="n"/>
    </row>
    <row r="71">
      <c r="C71" s="219" t="n"/>
      <c r="P71" s="220" t="n"/>
    </row>
    <row r="72">
      <c r="C72" s="219" t="n"/>
      <c r="P72" s="220" t="n"/>
    </row>
    <row r="73">
      <c r="C73" s="219" t="n"/>
      <c r="P73" s="220" t="n"/>
    </row>
    <row r="74">
      <c r="C74" s="219" t="n"/>
      <c r="P74" s="220" t="n"/>
    </row>
    <row r="75">
      <c r="C75" s="219" t="n"/>
      <c r="P75" s="220" t="n"/>
    </row>
    <row r="76">
      <c r="C76" s="219" t="n"/>
      <c r="P76" s="220" t="n"/>
    </row>
    <row r="77">
      <c r="C77" s="219" t="n"/>
      <c r="P77" s="220" t="n"/>
    </row>
    <row r="78">
      <c r="C78" s="219" t="n"/>
      <c r="P78" s="220" t="n"/>
    </row>
    <row r="79">
      <c r="C79" s="219" t="n"/>
      <c r="P79" s="220" t="n"/>
    </row>
    <row r="80">
      <c r="C80" s="219" t="n"/>
      <c r="P80" s="220" t="n"/>
    </row>
    <row r="81">
      <c r="C81" s="219" t="n"/>
      <c r="P81" s="220" t="n"/>
    </row>
    <row r="82">
      <c r="C82" s="219" t="n"/>
      <c r="P82" s="220" t="n"/>
    </row>
    <row r="83">
      <c r="C83" s="219" t="n"/>
      <c r="P83" s="220" t="n"/>
    </row>
    <row r="84">
      <c r="C84" s="219" t="n"/>
      <c r="P84" s="220" t="n"/>
    </row>
    <row r="85">
      <c r="C85" s="219" t="n"/>
      <c r="P85" s="220" t="n"/>
    </row>
    <row r="86">
      <c r="C86" s="219" t="n"/>
      <c r="P86" s="220" t="n"/>
    </row>
    <row r="87">
      <c r="C87" s="219" t="n"/>
      <c r="P87" s="220" t="n"/>
    </row>
    <row r="88">
      <c r="C88" s="219" t="n"/>
      <c r="D88" s="52" t="inlineStr">
        <is>
          <t>RECORD OF COURT SITTINGS</t>
        </is>
      </c>
      <c r="P88" s="220" t="n"/>
    </row>
    <row r="89" ht="15.75" customHeight="1" thickBot="1">
      <c r="C89" s="219" t="n"/>
      <c r="P89" s="220" t="n"/>
    </row>
    <row r="90" ht="15.75" customHeight="1" thickBot="1">
      <c r="C90" s="219" t="n"/>
      <c r="D90" s="272" t="inlineStr">
        <is>
          <t>TOTAL NUMBER OF SITTINGS HELD</t>
        </is>
      </c>
      <c r="G90" s="232">
        <f>COUNTIF(HCT6_HL[OUTCOME],"HEARD")</f>
        <v/>
      </c>
      <c r="P90" s="220" t="n"/>
    </row>
    <row r="91" ht="15.75" customHeight="1" thickBot="1">
      <c r="C91" s="219" t="n"/>
      <c r="D91" s="272" t="inlineStr">
        <is>
          <t>AVERAGE NUMBER OF CASES HEARD PER SITTING</t>
        </is>
      </c>
      <c r="P91" s="220" t="n"/>
    </row>
    <row r="92" ht="15.75" customHeight="1" thickBot="1">
      <c r="C92" s="219" t="n"/>
      <c r="D92" s="272" t="inlineStr">
        <is>
          <t>ADJOURNMRNTS AT INSTANCE OF COURT</t>
        </is>
      </c>
      <c r="G92" s="233">
        <f>COUNTIF(HCT6_HL[OUTCOME],"COURT NOT SITTING")</f>
        <v/>
      </c>
      <c r="P92" s="220" t="n"/>
    </row>
    <row r="93" ht="15.75" customHeight="1" thickBot="1">
      <c r="C93" s="219" t="n"/>
      <c r="D93" s="272" t="inlineStr">
        <is>
          <t>ADJOURNMENTS AT INSTANCE OF PARTIES</t>
        </is>
      </c>
      <c r="G93" s="234">
        <f>COUNTIF(HCT6_HL[OUTCOME],"PARTY NOT READY")</f>
        <v/>
      </c>
      <c r="P93" s="220" t="n"/>
    </row>
    <row r="94">
      <c r="C94" s="219" t="n"/>
      <c r="P94" s="220" t="n"/>
    </row>
    <row r="95">
      <c r="C95" s="219" t="n"/>
      <c r="P95" s="220" t="n"/>
    </row>
    <row r="96">
      <c r="C96" s="219" t="n"/>
      <c r="D96" s="52" t="inlineStr">
        <is>
          <t>DAYS COURT DID NOT SIT (WITH REASON):</t>
        </is>
      </c>
      <c r="G96" s="235">
        <f>COUNTIF(HCT6_HL[OUTCOME],"COURT NOT SITTING")</f>
        <v/>
      </c>
      <c r="P96" s="220" t="n"/>
    </row>
    <row r="97">
      <c r="C97" s="219" t="n"/>
      <c r="P97" s="220" t="n"/>
    </row>
    <row r="98">
      <c r="C98" s="219" t="n"/>
      <c r="P98" s="220" t="n"/>
    </row>
    <row r="99">
      <c r="C99" s="219" t="n"/>
      <c r="P99" s="220" t="n"/>
    </row>
    <row r="100">
      <c r="C100" s="219" t="n"/>
      <c r="P100" s="220" t="n"/>
    </row>
    <row r="101">
      <c r="C101" s="219" t="n"/>
      <c r="P101" s="220" t="n"/>
    </row>
    <row r="102">
      <c r="C102" s="219" t="n"/>
      <c r="P102" s="220" t="n"/>
    </row>
    <row r="103">
      <c r="C103" s="219" t="n"/>
      <c r="P103" s="220" t="n"/>
    </row>
    <row r="104" ht="18.75" customHeight="1" thickBot="1">
      <c r="C104" s="219" t="n"/>
      <c r="D104" s="236" t="inlineStr">
        <is>
          <t>ADMINISTRATIVE AND ETHICAL COMPLIANCE</t>
        </is>
      </c>
      <c r="P104" s="220" t="n"/>
    </row>
    <row r="105" ht="15.75" customHeight="1" thickTop="1">
      <c r="C105" s="219" t="n"/>
      <c r="P105" s="220" t="n"/>
    </row>
    <row r="106">
      <c r="C106" s="219" t="n"/>
      <c r="D106" s="52" t="inlineStr">
        <is>
          <t>RETURNS SUBMITTED VIA NJC PERFORMANCE EVALUATION PORTAL (Y/N):</t>
        </is>
      </c>
      <c r="P106" s="220" t="n"/>
    </row>
    <row r="107">
      <c r="C107" s="219" t="n"/>
      <c r="P107" s="220" t="n"/>
    </row>
    <row r="108">
      <c r="C108" s="219" t="n"/>
      <c r="P108" s="220" t="n"/>
    </row>
    <row r="109">
      <c r="C109" s="219" t="n"/>
      <c r="D109" s="52" t="inlineStr">
        <is>
          <t>ANY TECHNICAL CHALLENGE ENCOUNTERED?</t>
        </is>
      </c>
      <c r="P109" s="220" t="n"/>
    </row>
    <row r="110">
      <c r="C110" s="219" t="n"/>
      <c r="P110" s="220" t="n"/>
    </row>
    <row r="111">
      <c r="C111" s="219" t="n"/>
      <c r="P111" s="220" t="n"/>
    </row>
    <row r="112">
      <c r="C112" s="219" t="n"/>
      <c r="P112" s="220" t="n"/>
    </row>
    <row r="113">
      <c r="C113" s="219" t="n"/>
      <c r="P113" s="220" t="n"/>
    </row>
    <row r="114">
      <c r="C114" s="219" t="n"/>
      <c r="P114" s="220" t="n"/>
    </row>
    <row r="115">
      <c r="C115" s="219" t="n"/>
      <c r="P115" s="220" t="n"/>
    </row>
    <row r="116">
      <c r="C116" s="219" t="n"/>
      <c r="D116" s="52" t="inlineStr">
        <is>
          <t>ANY ETHICAL OR ADMINISTRATIVE ISSUES REPORTED?</t>
        </is>
      </c>
      <c r="P116" s="220" t="n"/>
    </row>
    <row r="117">
      <c r="C117" s="219" t="n"/>
      <c r="P117" s="220" t="n"/>
    </row>
    <row r="118">
      <c r="C118" s="219" t="n"/>
      <c r="P118" s="220" t="n"/>
    </row>
    <row r="119">
      <c r="C119" s="219" t="n"/>
      <c r="P119" s="220" t="n"/>
    </row>
    <row r="120">
      <c r="C120" s="219" t="n"/>
      <c r="P120" s="220" t="n"/>
    </row>
    <row r="121">
      <c r="C121" s="219" t="n"/>
      <c r="P121" s="220" t="n"/>
    </row>
    <row r="122">
      <c r="C122" s="219" t="n"/>
      <c r="D122" s="52" t="inlineStr">
        <is>
          <t>OBSERVATIONS, CHALLENGES OR RECOMMENDATIONS</t>
        </is>
      </c>
      <c r="P122" s="220" t="n"/>
    </row>
    <row r="123">
      <c r="C123" s="219" t="n"/>
      <c r="P123" s="220" t="n"/>
    </row>
    <row r="124">
      <c r="C124" s="219" t="n"/>
      <c r="P124" s="220" t="n"/>
    </row>
    <row r="125">
      <c r="C125" s="219" t="n"/>
      <c r="P125" s="220" t="n"/>
    </row>
    <row r="126">
      <c r="C126" s="219" t="n"/>
      <c r="P126" s="220" t="n"/>
    </row>
    <row r="127">
      <c r="C127" s="219" t="n"/>
      <c r="P127" s="220" t="n"/>
    </row>
    <row r="128">
      <c r="C128" s="219" t="n"/>
      <c r="P128" s="220" t="n"/>
    </row>
    <row r="129">
      <c r="C129" s="219" t="n"/>
      <c r="P129" s="220" t="n"/>
    </row>
    <row r="130">
      <c r="C130" s="219" t="n"/>
      <c r="D130" s="52" t="inlineStr">
        <is>
          <t>ATTESTATION</t>
        </is>
      </c>
      <c r="P130" s="220" t="n"/>
    </row>
    <row r="131">
      <c r="C131" s="219" t="n"/>
      <c r="P131" s="220" t="n"/>
    </row>
    <row r="132">
      <c r="C132" s="219" t="n"/>
      <c r="D132" s="272" t="inlineStr">
        <is>
          <t>I, THE UNDERSIGNED HEREBY AFFIRM THAT THE INFORMATION IN THIS QUARTERLY RETURN IS ACCURATE, COMPLETE</t>
        </is>
      </c>
      <c r="E132" s="272" t="n"/>
      <c r="F132" s="272" t="n"/>
      <c r="G132" s="272" t="n"/>
      <c r="H132" s="272" t="n"/>
      <c r="P132" s="220" t="n"/>
    </row>
    <row r="133">
      <c r="C133" s="219" t="n"/>
      <c r="D133" s="272" t="inlineStr">
        <is>
          <t>AND SUBMITTED IN GOOD FAITH IN ACCORDANCE WITH THE DIRECTIVES OF THE NATIONAL JUDICAL COUNCIL</t>
        </is>
      </c>
      <c r="E133" s="272" t="n"/>
      <c r="F133" s="272" t="n"/>
      <c r="G133" s="272" t="n"/>
      <c r="P133" s="220" t="n"/>
    </row>
    <row r="134">
      <c r="C134" s="219" t="n"/>
      <c r="P134" s="220" t="n"/>
    </row>
    <row r="135">
      <c r="C135" s="219" t="n"/>
      <c r="D135" s="272" t="inlineStr">
        <is>
          <t>JUDGE'S SIGNATURE</t>
        </is>
      </c>
      <c r="P135" s="220" t="n"/>
    </row>
    <row r="136">
      <c r="C136" s="219" t="n"/>
      <c r="P136" s="220" t="n"/>
    </row>
    <row r="137">
      <c r="C137" s="219" t="n"/>
      <c r="D137" s="272" t="inlineStr">
        <is>
          <t>DATE</t>
        </is>
      </c>
      <c r="P137" s="220" t="n"/>
    </row>
    <row r="138">
      <c r="C138" s="219" t="n"/>
      <c r="P138" s="220" t="n"/>
    </row>
    <row r="139" ht="15.75" customHeight="1" thickBot="1">
      <c r="C139" s="237" t="n"/>
      <c r="D139" s="238" t="n"/>
      <c r="E139" s="238" t="n"/>
      <c r="F139" s="238" t="n"/>
      <c r="G139" s="238" t="n"/>
      <c r="H139" s="238" t="n"/>
      <c r="I139" s="238" t="n"/>
      <c r="J139" s="238" t="n"/>
      <c r="K139" s="238" t="n"/>
      <c r="L139" s="238" t="n"/>
      <c r="M139" s="238" t="n"/>
      <c r="N139" s="238" t="n"/>
      <c r="O139" s="238" t="n"/>
      <c r="P139" s="23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RpANKdYxQV8GPwXUKNx5A==" formatRows="1" sort="1" spinCount="100000" hashValue="AbpGYRUdbhEnm9eFxB6ZIb4Y498J78QDN5wNJ2TkeCoav0txypc9gDzQlCcFYER7/IQB8N8n6G0DXaBCdg+7fQ=="/>
  <mergeCells count="10">
    <mergeCell ref="D27:M27"/>
    <mergeCell ref="D30:L30"/>
    <mergeCell ref="D14:F14"/>
    <mergeCell ref="D29:L29"/>
    <mergeCell ref="D28:M28"/>
    <mergeCell ref="D37:F37"/>
    <mergeCell ref="D132:H132"/>
    <mergeCell ref="D25:F25"/>
    <mergeCell ref="D133:G133"/>
    <mergeCell ref="D32:G32"/>
  </mergeCells>
  <conditionalFormatting sqref="G35">
    <cfRule type="expression" priority="23" dxfId="3">
      <formula>COLUMN(D35)-COLUMN($C35)+1 = VALUE(RIGHT($F$20,1))</formula>
    </cfRule>
  </conditionalFormatting>
  <dataValidations count="4">
    <dataValidation sqref="F16" showDropDown="0" showInputMessage="1" showErrorMessage="1" allowBlank="1" type="list">
      <formula1>JUDGES2</formula1>
    </dataValidation>
    <dataValidation sqref="F19 J16" showDropDown="0" showInputMessage="1" showErrorMessage="1" allowBlank="1" type="list">
      <formula1>COURT</formula1>
    </dataValidation>
    <dataValidation sqref="M16" showDropDown="0" showInputMessage="1" showErrorMessage="1" allowBlank="1" type="list">
      <formula1>DIVISIONS</formula1>
    </dataValidation>
    <dataValidation sqref="I19" showDropDown="0" showInputMessage="1" showErrorMessage="1" allowBlank="1" type="list">
      <formula1>QUARTER</formula1>
    </dataValidation>
  </dataValidations>
  <hyperlinks>
    <hyperlink ref="B1" location="'HOME PAGE'!A1" tooltip="WELCOME PAGE" display="'HOME PAGE'!A1"/>
    <hyperlink ref="C1" location="'CASE REGISTER'!A1" display="CASE REGISTER"/>
    <hyperlink ref="D1" location="'HEARING LOG'!A1" display="HEARING LOG"/>
    <hyperlink ref="E1" location="'AUTO CAUSE LIST'!A1" display="AUTO CAUSE LIST"/>
    <hyperlink ref="F1" location="INSIGHTS!A1" display="INSIGHTS"/>
    <hyperlink ref="G1" location="'COUNSEL DIRECTORY'!A1" tooltip="COUNSEL DIRECTORY" display="'COUNSEL DIRECTORY'!A1"/>
  </hyperlinks>
  <pageMargins left="0.7" right="0.7" top="0.75" bottom="0.75" header="0.3" footer="0.3"/>
  <pageSetup orientation="portrait" scale="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C5"/>
  <sheetViews>
    <sheetView workbookViewId="0">
      <selection activeCell="E9" sqref="E9"/>
    </sheetView>
  </sheetViews>
  <sheetFormatPr baseColWidth="8" defaultRowHeight="15"/>
  <sheetData>
    <row r="3">
      <c r="C3" t="inlineStr">
        <is>
          <t>DIRECTORY OF APPEARING COUNSEL</t>
        </is>
      </c>
    </row>
    <row r="5">
      <c r="C5">
        <f t="array" ref="C5">_xlfn._xlws.FILTER(HCT6_CR[],_xlfn.CHOOSECOLS(HCT6_CR[],3,4,5,6,7,8),"NO COUNSEL LISTED")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J43"/>
  <sheetViews>
    <sheetView showGridLines="0" showRowColHeaders="0" zoomScaleNormal="100" workbookViewId="0">
      <pane ySplit="10" topLeftCell="A11" activePane="bottomLeft" state="frozen"/>
      <selection activeCell="F18" sqref="F18"/>
      <selection pane="bottomLeft" activeCell="F1" sqref="F1"/>
    </sheetView>
  </sheetViews>
  <sheetFormatPr baseColWidth="8" defaultColWidth="9.14453125" defaultRowHeight="15"/>
  <cols>
    <col width="9.14453125" customWidth="1" style="272" min="1" max="1"/>
    <col hidden="1" style="272" min="2" max="2"/>
    <col width="10.0859375" bestFit="1" customWidth="1" style="85" min="3" max="3"/>
    <col width="25.55859375" bestFit="1" customWidth="1" style="85" min="4" max="4"/>
    <col width="23.80859375" bestFit="1" customWidth="1" style="60" min="5" max="5"/>
    <col width="45.73828125" bestFit="1" customWidth="1" style="60" min="6" max="6"/>
    <col width="34.03125" customWidth="1" style="272" min="7" max="7"/>
    <col width="36.453125" customWidth="1" style="272" min="8" max="8"/>
    <col width="18.96484375" bestFit="1" customWidth="1" style="272" min="9" max="9"/>
    <col hidden="1" width="29.86328125" customWidth="1" style="280" min="10" max="10"/>
    <col width="9.14453125" customWidth="1" style="272" min="11" max="16384"/>
  </cols>
  <sheetData>
    <row r="1" ht="15.75" customHeight="1" thickBot="1">
      <c r="A1" s="52" t="n"/>
      <c r="B1" s="52" t="n"/>
      <c r="C1" s="52">
        <f>_xlfn.UNICHAR(127968) &amp; " HOME"</f>
        <v/>
      </c>
      <c r="D1" s="52">
        <f>_xlfn.UNICHAR(128257) &amp; "  UPDATE CASE REGISTER"</f>
        <v/>
      </c>
      <c r="E1" s="52">
        <f>_xlfn.UNICHAR(128209) &amp; " HEARING LOG"</f>
        <v/>
      </c>
      <c r="F1" s="52">
        <f>_xlfn.UNICHAR(8505) &amp; " INSIGHTS"</f>
        <v/>
      </c>
      <c r="G1" s="113">
        <f>_xlfn.UNICHAR(128100)&amp; "  COUNSEL DIRECTORY"</f>
        <v/>
      </c>
      <c r="H1" s="216">
        <f>_xlfn.UNICHAR(9997) &amp;"   QUARTERLY REPORTS"</f>
        <v/>
      </c>
    </row>
    <row r="2" ht="15.75" customHeight="1" thickBot="1">
      <c r="J2" s="281">
        <f t="array" ref="J2">IFERROR(_xlfn._xlws.SORT(_xlfn._xlws.FILTER(HCT6_HL[NEXT DATE],HCT6_HL[NEXT DATE]&lt;&gt;"")),"")</f>
        <v/>
      </c>
    </row>
    <row r="3">
      <c r="C3" s="86" t="n"/>
      <c r="D3" s="272" t="n"/>
      <c r="E3" s="272" t="n"/>
      <c r="F3" s="272" t="n"/>
    </row>
    <row r="4" ht="24" customHeight="1" thickBot="1">
      <c r="A4" s="54" t="n"/>
      <c r="B4" s="67" t="n"/>
      <c r="C4" s="86" t="n"/>
      <c r="D4" s="272" t="n"/>
      <c r="E4" s="87" t="inlineStr">
        <is>
          <t xml:space="preserve">RIVERS STATE HIGH COURT </t>
        </is>
      </c>
      <c r="F4" s="87" t="n"/>
      <c r="H4" s="16">
        <f>_xlfn.UNICHAR(128424)&amp;"     CTRL+P TO PRINT"</f>
        <v/>
      </c>
    </row>
    <row r="5" ht="24" customHeight="1" thickTop="1">
      <c r="A5" s="69" t="n"/>
      <c r="C5" s="86" t="n"/>
      <c r="D5" s="272" t="n"/>
      <c r="E5" s="87" t="inlineStr">
        <is>
          <t>HIGH COURT 6 PORT HARCOUT</t>
        </is>
      </c>
      <c r="F5" s="87" t="n"/>
      <c r="H5" s="106" t="n"/>
    </row>
    <row r="6" ht="23.25" customHeight="1">
      <c r="A6" s="72" t="n"/>
      <c r="C6" s="86" t="n"/>
      <c r="D6" s="272" t="n"/>
      <c r="E6" s="87" t="inlineStr">
        <is>
          <t>PRESIDED OVER BY HON, JUSTICE E. N. THOMPSON</t>
        </is>
      </c>
      <c r="F6" s="87" t="n"/>
    </row>
    <row r="7" ht="19.5" customHeight="1" thickBot="1">
      <c r="A7" s="71" t="n"/>
      <c r="C7" s="86" t="n"/>
      <c r="D7" s="272" t="n"/>
      <c r="E7" s="59" t="n"/>
      <c r="F7" s="59" t="n"/>
    </row>
    <row r="8" ht="21" customHeight="1" thickBot="1">
      <c r="A8" s="74" t="n"/>
      <c r="C8" s="86" t="n"/>
      <c r="D8" s="272" t="n"/>
      <c r="E8" s="88" t="inlineStr">
        <is>
          <t>CAUSE LIST FOR</t>
        </is>
      </c>
      <c r="F8" s="282" t="inlineStr"/>
    </row>
    <row r="9">
      <c r="A9" s="54" t="n"/>
      <c r="B9" s="55" t="n"/>
      <c r="C9" s="86" t="n"/>
      <c r="D9" s="272" t="n"/>
      <c r="E9" s="272" t="n"/>
      <c r="F9" s="272" t="n"/>
      <c r="H9" s="89" t="n"/>
      <c r="I9" s="89" t="n"/>
    </row>
    <row r="10" ht="23.25" customHeight="1">
      <c r="A10" s="69" t="n"/>
      <c r="C10" s="90" t="inlineStr">
        <is>
          <t>S/N</t>
        </is>
      </c>
      <c r="D10" s="91" t="inlineStr">
        <is>
          <t>SUIT  NUMBER</t>
        </is>
      </c>
      <c r="E10" s="91" t="inlineStr">
        <is>
          <t>PARTIES</t>
        </is>
      </c>
      <c r="F10" s="91" t="inlineStr">
        <is>
          <t>STATUS</t>
        </is>
      </c>
      <c r="G10" s="92" t="inlineStr">
        <is>
          <t>CLAIMANT COUNSEL</t>
        </is>
      </c>
      <c r="H10" s="92" t="inlineStr">
        <is>
          <t>DEFENDANT COUNSEL</t>
        </is>
      </c>
      <c r="I10" s="92" t="inlineStr">
        <is>
          <t>ADJ</t>
        </is>
      </c>
    </row>
    <row r="11" ht="18.75" customHeight="1">
      <c r="A11" s="72" t="n"/>
      <c r="C11" s="126">
        <f>IF(D11="","",COUNTA($D$11:D11))</f>
        <v/>
      </c>
      <c r="D11" s="127">
        <f t="array" ref="D11:H17">IFERROR(_xlfn._xlws.SORT(_xlfn._xlws.FILTER(_xlfn.CHOOSECOLS(HCT6_HL[],2,3,9,4,5),HCT6_HL[NEXT DATE]=F8),1,1),"")</f>
        <v/>
      </c>
      <c r="E11" s="129" t="str"/>
      <c r="F11" s="129" t="n">
        <v>0</v>
      </c>
      <c r="G11" s="130" t="str"/>
      <c r="H11" s="130" t="str"/>
      <c r="I11" s="131" t="n"/>
    </row>
    <row r="12" ht="18.75" customHeight="1">
      <c r="A12" s="71" t="n"/>
      <c r="C12">
        <f>IF(D12="","",COUNTA($D$11:D12))</f>
        <v/>
      </c>
      <c r="D12" s="128" t="n">
        <v>0</v>
      </c>
      <c r="E12" s="132" t="str"/>
      <c r="F12" s="132" t="n">
        <v>0</v>
      </c>
      <c r="G12" s="128" t="str"/>
      <c r="H12" s="128" t="str"/>
      <c r="I12" s="58" t="n"/>
    </row>
    <row r="13">
      <c r="A13" s="74" t="n"/>
      <c r="C13">
        <f>IF(D13="","",COUNTA($D$11:D13))</f>
        <v/>
      </c>
      <c r="D13" t="n">
        <v>0</v>
      </c>
      <c r="F13" t="n">
        <v>0</v>
      </c>
    </row>
    <row r="14">
      <c r="A14" s="54" t="n"/>
      <c r="C14">
        <f>IF(D14="","",COUNTA($D$11:D14))</f>
        <v/>
      </c>
      <c r="D14" t="n">
        <v>0</v>
      </c>
      <c r="F14" t="n">
        <v>0</v>
      </c>
    </row>
    <row r="15">
      <c r="A15" s="69" t="n"/>
      <c r="C15">
        <f>IF(D15="","",COUNTA($D$11:D15))</f>
        <v/>
      </c>
      <c r="D15" t="n">
        <v>0</v>
      </c>
      <c r="F15" t="n">
        <v>0</v>
      </c>
    </row>
    <row r="16">
      <c r="A16" s="72" t="n"/>
      <c r="C16">
        <f>IF(D16="","",COUNTA($D$11:D16))</f>
        <v/>
      </c>
      <c r="D16" t="n">
        <v>0</v>
      </c>
      <c r="F16" t="n">
        <v>0</v>
      </c>
    </row>
    <row r="17">
      <c r="A17" s="71" t="n"/>
      <c r="C17">
        <f>IF(D17="","",COUNTA($D$11:D17))</f>
        <v/>
      </c>
      <c r="D17" t="n">
        <v>0</v>
      </c>
      <c r="F17" t="n">
        <v>0</v>
      </c>
    </row>
    <row r="18">
      <c r="A18" s="74" t="n"/>
      <c r="C18">
        <f>IF(D18="","",COUNTA($D$11:D18))</f>
        <v/>
      </c>
    </row>
    <row r="19">
      <c r="A19" s="54" t="n"/>
      <c r="C19">
        <f>IF(D19="","",COUNTA($D$11:D19))</f>
        <v/>
      </c>
    </row>
    <row r="20" ht="18.75" customHeight="1">
      <c r="A20" s="69" t="n"/>
      <c r="C20">
        <f>IF(D20="","",COUNTA($D$11:D20))</f>
        <v/>
      </c>
      <c r="D20" s="58" t="n"/>
      <c r="E20" s="58" t="n"/>
      <c r="F20" s="58" t="n"/>
      <c r="G20" s="58" t="n"/>
      <c r="H20" s="58" t="n"/>
      <c r="I20" s="58" t="n"/>
    </row>
    <row r="21" ht="18.75" customHeight="1">
      <c r="A21" s="72" t="n"/>
      <c r="C21" s="104" t="n"/>
      <c r="D21" s="104" t="n"/>
      <c r="E21" s="105" t="n"/>
      <c r="F21" s="105" t="n"/>
      <c r="G21" s="58" t="n"/>
      <c r="H21" s="58" t="n"/>
      <c r="I21" s="58" t="n"/>
    </row>
    <row r="22" ht="18.75" customHeight="1">
      <c r="A22" s="71" t="n"/>
      <c r="C22" s="104" t="n"/>
      <c r="D22" s="104" t="n"/>
      <c r="E22" s="105" t="n"/>
      <c r="F22" s="105" t="n"/>
      <c r="G22" s="58" t="n"/>
      <c r="H22" s="58" t="n"/>
      <c r="I22" s="58" t="n"/>
    </row>
    <row r="23" ht="18.75" customHeight="1">
      <c r="A23" s="74" t="n"/>
      <c r="C23" s="104" t="n"/>
      <c r="D23" s="104" t="n"/>
      <c r="E23" s="105" t="n"/>
      <c r="F23" s="105" t="n"/>
      <c r="G23" s="58" t="n"/>
      <c r="H23" s="58" t="n"/>
      <c r="I23" s="58" t="n"/>
    </row>
    <row r="24" ht="18.75" customHeight="1">
      <c r="A24" s="54" t="n"/>
      <c r="C24" s="104" t="n"/>
      <c r="D24" s="104" t="n"/>
      <c r="E24" s="105" t="n"/>
      <c r="F24" s="105" t="n"/>
      <c r="G24" s="58" t="n"/>
      <c r="H24" s="58" t="n"/>
      <c r="I24" s="58" t="n"/>
    </row>
    <row r="25" ht="18.75" customHeight="1">
      <c r="A25" s="69" t="n"/>
      <c r="C25" s="104" t="n"/>
      <c r="D25" s="104" t="n"/>
      <c r="E25" s="105" t="n"/>
      <c r="F25" s="105" t="n"/>
      <c r="G25" s="58" t="n"/>
      <c r="H25" s="58" t="n"/>
      <c r="I25" s="58" t="n"/>
    </row>
    <row r="26" ht="18.75" customHeight="1">
      <c r="A26" s="72" t="n"/>
      <c r="C26" s="104" t="n"/>
      <c r="D26" s="104" t="n"/>
      <c r="E26" s="105" t="n"/>
      <c r="F26" s="105" t="n"/>
      <c r="G26" s="58" t="n"/>
      <c r="H26" s="58" t="n"/>
      <c r="I26" s="58" t="n"/>
    </row>
    <row r="27" ht="18.75" customHeight="1">
      <c r="A27" s="71" t="n"/>
      <c r="C27" s="104" t="n"/>
      <c r="D27" s="104" t="n"/>
      <c r="E27" s="105" t="n"/>
      <c r="F27" s="105" t="n"/>
      <c r="G27" s="58" t="n"/>
      <c r="H27" s="58" t="n"/>
      <c r="I27" s="58" t="n"/>
    </row>
    <row r="28">
      <c r="A28" s="74" t="n"/>
    </row>
    <row r="29">
      <c r="A29" s="54" t="n"/>
    </row>
    <row r="30">
      <c r="A30" s="69" t="n"/>
    </row>
    <row r="31">
      <c r="A31" s="72" t="n"/>
    </row>
    <row r="32">
      <c r="A32" s="71" t="n"/>
    </row>
    <row r="33">
      <c r="A33" s="74" t="n"/>
    </row>
    <row r="34">
      <c r="A34" s="54" t="n"/>
    </row>
    <row r="35">
      <c r="A35" s="69" t="n"/>
    </row>
    <row r="36">
      <c r="A36" s="72" t="n"/>
    </row>
    <row r="37">
      <c r="A37" s="71" t="n"/>
    </row>
    <row r="38">
      <c r="A38" s="74" t="n"/>
    </row>
    <row r="39">
      <c r="A39" s="54" t="n"/>
    </row>
    <row r="40">
      <c r="A40" s="69" t="n"/>
    </row>
    <row r="41">
      <c r="A41" s="72" t="n"/>
    </row>
    <row r="42">
      <c r="A42" s="71" t="n"/>
    </row>
    <row r="43">
      <c r="A43" s="7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ybSkRBkfZLXX7q0lJ4cFA==" formatRows="1" sort="1" spinCount="100000" hashValue="GpSZIZCOxvbcJLvuPmveMLg7LD6W7Yzr5AGiFhDfg+lC/U4vDX5yZfs2cBm1NAOL5f/bVSvDfDRYgOtjY6Uhyw=="/>
  <dataValidations count="1">
    <dataValidation sqref="F8" showDropDown="0" showInputMessage="1" showErrorMessage="1" allowBlank="1" prompt="SELECT A DATE FROM THE LIST" type="list">
      <formula1>_xlfn.ANCHORARRAY(J2)</formula1>
    </dataValidation>
  </dataValidations>
  <hyperlinks>
    <hyperlink ref="C1" location="'HOME PAGE'!A1" display="HOME"/>
    <hyperlink ref="D1" location="'CASE REGISTER'!A1" display="CASE REGISTER"/>
    <hyperlink ref="E1" location="'HEARING LOG'!A1" display="HEARING LOG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rintOptions gridLines="1"/>
  <pageMargins left="0.7086614173228347" right="0.7086614173228347" top="0.7480314960629921" bottom="0.7480314960629921" header="0.3149606299212598" footer="0.3149606299212598"/>
  <pageSetup orientation="landscape" scale="59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V219"/>
  <sheetViews>
    <sheetView showGridLines="0" showRowColHeaders="0" topLeftCell="B1" zoomScale="77" zoomScaleNormal="77" workbookViewId="0">
      <pane ySplit="14" topLeftCell="B15" activePane="bottomLeft" state="frozen"/>
      <selection activeCell="F18" sqref="F18"/>
      <selection pane="bottomLeft" activeCell="B1" sqref="B1"/>
    </sheetView>
  </sheetViews>
  <sheetFormatPr baseColWidth="8" defaultColWidth="9.14453125" defaultRowHeight="15"/>
  <cols>
    <col width="52.328125" customWidth="1" style="121" min="1" max="1"/>
    <col width="98.46875" bestFit="1" customWidth="1" style="121" min="2" max="2"/>
    <col width="47.08203125" bestFit="1" customWidth="1" style="121" min="3" max="3"/>
    <col width="29.32421875" bestFit="1" customWidth="1" style="121" min="4" max="4"/>
    <col width="46.54296875" bestFit="1" customWidth="1" style="121" min="5" max="5"/>
    <col width="40.0859375" bestFit="1" customWidth="1" style="121" min="6" max="6"/>
    <col width="44.12109375" bestFit="1" customWidth="1" style="121" min="7" max="7"/>
    <col width="34.83984375" bestFit="1" customWidth="1" style="121" min="8" max="8"/>
    <col width="47.484375" bestFit="1" customWidth="1" style="121" min="9" max="9"/>
    <col width="66.05078125" customWidth="1" style="121" min="10" max="10"/>
    <col width="35.109375" bestFit="1" customWidth="1" style="121" min="11" max="11"/>
    <col width="48.6953125" bestFit="1" customWidth="1" style="121" min="12" max="12"/>
    <col width="39.68359375" bestFit="1" customWidth="1" style="121" min="13" max="13"/>
    <col width="26.23046875" bestFit="1" customWidth="1" style="121" min="14" max="14"/>
    <col width="28.11328125" bestFit="1" customWidth="1" style="121" min="15" max="15"/>
    <col width="9.14453125" customWidth="1" style="121" min="16" max="16"/>
    <col width="48.42578125" bestFit="1" customWidth="1" style="121" min="17" max="17"/>
    <col width="47.484375" bestFit="1" customWidth="1" style="121" min="18" max="18"/>
    <col width="75.33203125" customWidth="1" style="121" min="19" max="19"/>
    <col width="25.69140625" customWidth="1" style="121" min="20" max="20"/>
    <col width="33.08984375" bestFit="1" customWidth="1" style="121" min="21" max="21"/>
    <col width="43.44921875" customWidth="1" style="121" min="22" max="22"/>
    <col width="9.14453125" customWidth="1" style="121" min="23" max="16384"/>
  </cols>
  <sheetData>
    <row r="1">
      <c r="B1" s="52">
        <f>_xlfn.UNICHAR(127968)&amp;"   HOME"</f>
        <v/>
      </c>
      <c r="C1" s="122">
        <f>_xlfn.UNICHAR(128257) &amp; " UPDATE CASE REGISTER"</f>
        <v/>
      </c>
      <c r="D1" s="122">
        <f>_xlfn.UNICHAR(128209) &amp;" HEARING LOG"</f>
        <v/>
      </c>
      <c r="E1" s="122">
        <f>_xlfn.UNICHAR(128196) &amp; " AUTO CAUSE LIST"</f>
        <v/>
      </c>
      <c r="F1" s="133">
        <f>_xlfn.UNICHAR(128100)&amp; "  COUNSEL DIRECTORY"</f>
        <v/>
      </c>
      <c r="G1" s="214">
        <f>_xlfn.UNICHAR(9997) &amp; "     QUARTERLY REPORTS"</f>
        <v/>
      </c>
    </row>
    <row r="3">
      <c r="B3" s="134" t="n"/>
    </row>
    <row r="4">
      <c r="C4" s="121">
        <f t="array" ref="C4">SUMPRODUCT((HCT6_CR[STATUS]="ACTIVE")*SUBTOTAL(103,OFFSET(HCT6_CR[STATUS],ROW(HCT6_CR[STATUS])-MIN(ROW(HCT6_CR[STATUS])),0)))</f>
        <v/>
      </c>
    </row>
    <row r="6">
      <c r="B6" s="135" t="n"/>
    </row>
    <row r="7">
      <c r="B7" s="136" t="inlineStr">
        <is>
          <t xml:space="preserve">🟢        </t>
        </is>
      </c>
    </row>
    <row r="8">
      <c r="C8" s="84" t="n"/>
    </row>
    <row r="14" ht="20.25" customHeight="1" thickBot="1">
      <c r="B14" s="137" t="inlineStr">
        <is>
          <t>EXECUTIVE SUMMARY OF KEY PERFORMANCE INDICATORS FOR HIGH COURT 6</t>
        </is>
      </c>
      <c r="C14" s="137" t="n"/>
      <c r="D14" s="137" t="n"/>
      <c r="H14" s="283">
        <f>TODAY()</f>
        <v/>
      </c>
    </row>
    <row r="15" ht="19.5" customHeight="1" thickTop="1">
      <c r="A15" s="142" t="n"/>
      <c r="B15" s="136" t="n"/>
      <c r="C15" s="136" t="n"/>
      <c r="D15" s="136" t="n"/>
      <c r="H15" s="284" t="n"/>
    </row>
    <row r="16" ht="18.75" customHeight="1">
      <c r="A16" s="139" t="n"/>
      <c r="B16" s="275">
        <f>"QUARTERLY OVERVIEW FOR NUMBER OF CASES ASSIGNED IN   "&amp;$D$21   &amp; " - " &amp;$F$21</f>
        <v/>
      </c>
      <c r="C16" s="121" t="n"/>
      <c r="D16" s="136" t="n"/>
      <c r="H16" s="284" t="n"/>
    </row>
    <row r="17" ht="18.75" customHeight="1">
      <c r="A17" s="155" t="n"/>
      <c r="B17" s="136" t="n"/>
      <c r="C17" s="136" t="n"/>
      <c r="D17" s="136" t="n"/>
      <c r="H17" s="284" t="n"/>
    </row>
    <row r="18">
      <c r="A18" s="140" t="n"/>
    </row>
    <row r="19" ht="19.5" customHeight="1" thickBot="1">
      <c r="A19" s="147" t="n"/>
      <c r="J19" s="143" t="inlineStr">
        <is>
          <t>AGE MATRIX OF ACTIVE CASES</t>
        </is>
      </c>
      <c r="Q19" s="144" t="inlineStr">
        <is>
          <t>AGE RANGE BY TYPE OF CASE</t>
        </is>
      </c>
      <c r="R19" s="145" t="n"/>
      <c r="S19" s="145" t="n"/>
      <c r="T19" s="145" t="n"/>
      <c r="U19" s="145" t="n"/>
    </row>
    <row r="20" ht="20.25" customHeight="1" thickBot="1" thickTop="1">
      <c r="A20" s="141" t="n"/>
      <c r="Q20" s="145" t="n"/>
      <c r="R20" s="145" t="n"/>
      <c r="S20" s="145" t="n"/>
      <c r="T20" s="145" t="n"/>
      <c r="U20" s="145" t="n"/>
    </row>
    <row r="21" ht="21.75" customHeight="1" thickBot="1">
      <c r="A21" s="268" t="n"/>
      <c r="C21" s="146" t="inlineStr">
        <is>
          <t>SELECT YEAR  &gt;&gt;&gt;&gt;&gt;&gt;</t>
        </is>
      </c>
      <c r="D21" s="61" t="n">
        <v>2024</v>
      </c>
      <c r="E21" s="146" t="inlineStr">
        <is>
          <t>SELECT QUARTER &gt;&gt;&gt;&gt;&gt;&gt;&gt;</t>
        </is>
      </c>
      <c r="F21" s="61" t="inlineStr">
        <is>
          <t>Q1</t>
        </is>
      </c>
      <c r="J21" s="121" t="inlineStr">
        <is>
          <t>AGE RANGE</t>
        </is>
      </c>
      <c r="K21" s="121" t="inlineStr">
        <is>
          <t>NUMBER</t>
        </is>
      </c>
      <c r="L21" s="121" t="inlineStr">
        <is>
          <t>% of active cases</t>
        </is>
      </c>
      <c r="Q21" s="143" t="inlineStr">
        <is>
          <t>CASE TYPE</t>
        </is>
      </c>
      <c r="R21" s="143" t="inlineStr">
        <is>
          <t>AVERAGE  AGES OF CASES BY CASE TYPE</t>
        </is>
      </c>
      <c r="S21" s="143" t="inlineStr">
        <is>
          <t>NUMBER</t>
        </is>
      </c>
      <c r="T21" s="143" t="inlineStr">
        <is>
          <t xml:space="preserve">AGE DISPLAY </t>
        </is>
      </c>
      <c r="U21" s="145" t="n"/>
    </row>
    <row r="22" ht="22.5" customHeight="1" thickBot="1" thickTop="1">
      <c r="A22" s="269" t="n"/>
      <c r="B22" s="274" t="inlineStr">
        <is>
          <t>CASE TYPE</t>
        </is>
      </c>
      <c r="C22" s="148" t="inlineStr">
        <is>
          <t>Q1</t>
        </is>
      </c>
      <c r="D22" s="148" t="inlineStr">
        <is>
          <t>Q2</t>
        </is>
      </c>
      <c r="E22" s="148" t="inlineStr">
        <is>
          <t>Q3</t>
        </is>
      </c>
      <c r="F22" s="148" t="inlineStr">
        <is>
          <t>Q4</t>
        </is>
      </c>
      <c r="G22" s="274">
        <f>"TOTALS FOR YEAR             "&amp;D21</f>
        <v/>
      </c>
      <c r="H22" s="136" t="n"/>
      <c r="J22" s="149" t="inlineStr">
        <is>
          <t>0 - 3 YEARS OLD</t>
        </is>
      </c>
      <c r="K22" s="149">
        <f>COUNTIFS(HCT6_CR[CURRENT AGE OF CASE],"&gt;=0",HCT6_CR[CURRENT AGE OF CASE],"&lt;=3")</f>
        <v/>
      </c>
      <c r="L22" s="150">
        <f>IFERROR(K22/COUNTIFS(HCT6_CR[STATUS],"ACTIVE"),0)</f>
        <v/>
      </c>
      <c r="Q22" s="151">
        <f t="array" ref="Q22:R22">IFERROR(_xlfn.GROUPBY(HCT6_CR[CASE TYPE],HCT6_CR[CURRENT AGE OF CASE],_xleta.AVERAGE,0,0),"NO RECORDS")</f>
        <v/>
      </c>
      <c r="R22" s="152">
        <f/>
        <v/>
      </c>
      <c r="S22" s="153">
        <f>IFERROR(COUNTIF(HCT6_CR[CASE TYPE],Q22),"")</f>
        <v/>
      </c>
      <c r="T22" s="154">
        <f>_xlfn.IFNA(_xlfn.XLOOKUP(Q22,HCT6_CR[CASE TYPE],HCT6_CR[AGE DISPLAY]),"NO RECORDS")</f>
        <v/>
      </c>
      <c r="U22" s="145" t="n"/>
    </row>
    <row r="23" ht="21.75" customHeight="1" thickTop="1">
      <c r="A23" s="142" t="n"/>
      <c r="B23" s="146" t="inlineStr">
        <is>
          <t>WRIT</t>
        </is>
      </c>
      <c r="C23" s="95">
        <f t="array" ref="C23">IFERROR(SUMPRODUCT((HCT6_CR[CASE TYPE]=$B23)*
(YEAR(HCT6_CR[DATE ASSIGNED])=$D$21)*
(ROUNDUP(MONTH(HCT6_CR[DATE ASSIGNED])/3,0)=COLUMN(B21))),"NO CASE ASSIGNED")</f>
        <v/>
      </c>
      <c r="D23" s="149">
        <f t="array" ref="D23">IFERROR(SUMPRODUCT((HCT6_CR[CASE TYPE]=$B23)*
(YEAR(HCT6_CR[DATE ASSIGNED])=$D$21)*
(ROUNDUP(MONTH(HCT6_CR[DATE ASSIGNED])/3,0)=COLUMN(C21))),"NO CASE ASSIGNED")</f>
        <v/>
      </c>
      <c r="E23" s="149">
        <f t="array" ref="E23">IFERROR(SUMPRODUCT((HCT6_CR[CASE TYPE]=$B23)*
(YEAR(HCT6_CR[DATE ASSIGNED])=$D$21)*
(ROUNDUP(MONTH(HCT6_CR[DATE ASSIGNED])/3,0)=COLUMN(D21))),"NO CASE ASSIGNED")</f>
        <v/>
      </c>
      <c r="F23" s="149">
        <f t="array" ref="F23">IFERROR(SUMPRODUCT((HCT6_CR[CASE TYPE]=$B23)*
(YEAR(HCT6_CR[DATE ASSIGNED])=$D$21)*
(ROUNDUP(MONTH(HCT6_CR[DATE ASSIGNED])/3,0)=COLUMN(E21))),"NO CASE ASSIGNED")</f>
        <v/>
      </c>
      <c r="G23" s="156">
        <f>SUM(C23:F23)</f>
        <v/>
      </c>
      <c r="J23" s="149" t="inlineStr">
        <is>
          <t>BETWEEN 4 AND 6 YEARS OLD</t>
        </is>
      </c>
      <c r="K23" s="149">
        <f>COUNTIFS(HCT6_CR[CURRENT AGE OF CASE],"&gt;=4",HCT6_CR[CURRENT AGE OF CASE],"&lt;=6")</f>
        <v/>
      </c>
      <c r="L23" s="150">
        <f>IFERROR(K23/COUNTIFS(HCT6_CR[STATUS],"ACTIVE"),0)</f>
        <v/>
      </c>
      <c r="Q23" s="157" t="n"/>
      <c r="R23" s="158" t="n"/>
      <c r="S23" s="159">
        <f>IFERROR(COUNTIF(HCT6_CR[CASE TYPE],Q23),"")</f>
        <v/>
      </c>
      <c r="T23" s="160">
        <f>_xlfn.XLOOKUP(Q23,HCT6_CR[CASE TYPE],HCT6_CR[AGE DISPLAY])</f>
        <v/>
      </c>
    </row>
    <row r="24" ht="21" customHeight="1">
      <c r="A24" s="142" t="n"/>
      <c r="B24" s="146" t="inlineStr">
        <is>
          <t>CRIMINAL_MATTER</t>
        </is>
      </c>
      <c r="C24" s="149">
        <f t="array" ref="C24">IFERROR(SUMPRODUCT((HCT6_CR[CASE TYPE]=$B24)*
(YEAR(HCT6_CR[DATE ASSIGNED])=$D$21)*
(ROUNDUP(MONTH(HCT6_CR[DATE ASSIGNED])/3,0)=COLUMN(B22))),"NO CASE ASSIGNED")</f>
        <v/>
      </c>
      <c r="D24" s="149">
        <f t="array" ref="D24">IFERROR(SUMPRODUCT((HCT6_CR[CASE TYPE]=$B24)*
(YEAR(HCT6_CR[DATE ASSIGNED])=$D$21)*
(ROUNDUP(MONTH(HCT6_CR[DATE ASSIGNED])/3,0)=COLUMN(C22))),"NO CASE ASSIGNED")</f>
        <v/>
      </c>
      <c r="E24" s="149">
        <f t="array" ref="E24">IFERROR(SUMPRODUCT((HCT6_CR[CASE TYPE]=$B24)*
(YEAR(HCT6_CR[DATE ASSIGNED])=$D$21)*
(ROUNDUP(MONTH(HCT6_CR[DATE ASSIGNED])/3,0)=COLUMN(D22))),"NO CASE ASSIGNED")</f>
        <v/>
      </c>
      <c r="F24" s="149">
        <f t="array" ref="F24">IFERROR(SUMPRODUCT((HCT6_CR[CASE TYPE]=$B24)*
(YEAR(HCT6_CR[DATE ASSIGNED])=$D$21)*
(ROUNDUP(MONTH(HCT6_CR[DATE ASSIGNED])/3,0)=COLUMN(E22))),"NO CASE ASSIGNED")</f>
        <v/>
      </c>
      <c r="G24" s="161">
        <f>SUM(C24:F24)</f>
        <v/>
      </c>
      <c r="J24" s="149" t="inlineStr">
        <is>
          <t>ABOVE SEVEN (7) YEARS</t>
        </is>
      </c>
      <c r="K24" s="149">
        <f>COUNTIFS(HCT6_CR[CURRENT AGE OF CASE],"&gt;=7")</f>
        <v/>
      </c>
      <c r="L24" s="150">
        <f>IFERROR(K24/COUNTIFS(HCT6_CR[STATUS],"ACTIVE"),0)</f>
        <v/>
      </c>
      <c r="Q24" s="157" t="n"/>
      <c r="R24" s="158" t="n"/>
      <c r="S24" s="159">
        <f>IFERROR(COUNTIF(HCT6_CR[CASE TYPE],Q24),"")</f>
        <v/>
      </c>
      <c r="T24" s="160">
        <f>_xlfn.XLOOKUP(Q24,HCT6_CR[CASE TYPE],HCT6_CR[AGE DISPLAY])</f>
        <v/>
      </c>
    </row>
    <row r="25" ht="21" customHeight="1">
      <c r="A25" s="139" t="n"/>
      <c r="B25" s="146" t="inlineStr">
        <is>
          <t>FHR</t>
        </is>
      </c>
      <c r="C25" s="149">
        <f t="array" ref="C25">IFERROR(SUMPRODUCT((HCT6_CR[CASE TYPE]=$B25)*
(YEAR(HCT6_CR[DATE ASSIGNED])=$D$21)*
(ROUNDUP(MONTH(HCT6_CR[DATE ASSIGNED])/3,0)=COLUMN(B23))),"NO CASE ASSIGNED")</f>
        <v/>
      </c>
      <c r="D25" s="149">
        <f t="array" ref="D25">IFERROR(SUMPRODUCT((HCT6_CR[CASE TYPE]=$B25)*
(YEAR(HCT6_CR[DATE ASSIGNED])=$D$21)*
(ROUNDUP(MONTH(HCT6_CR[DATE ASSIGNED])/3,0)=COLUMN(C23))),"NO CASE ASSIGNED")</f>
        <v/>
      </c>
      <c r="E25" s="149">
        <f t="array" ref="E25">IFERROR(SUMPRODUCT((HCT6_CR[CASE TYPE]=$B25)*
(YEAR(HCT6_CR[DATE ASSIGNED])=$D$21)*
(ROUNDUP(MONTH(HCT6_CR[DATE ASSIGNED])/3,0)=COLUMN(D23))),"NO CASE ASSIGNED")</f>
        <v/>
      </c>
      <c r="F25" s="149">
        <f t="array" ref="F25">IFERROR(SUMPRODUCT((HCT6_CR[CASE TYPE]=$B25)*
(YEAR(HCT6_CR[DATE ASSIGNED])=$D$21)*
(ROUNDUP(MONTH(HCT6_CR[DATE ASSIGNED])/3,0)=COLUMN(E23))),"NO CASE ASSIGNED")</f>
        <v/>
      </c>
      <c r="G25" s="161">
        <f>SUM(C25:F25)</f>
        <v/>
      </c>
      <c r="M25" s="285" t="n"/>
      <c r="Q25" s="157" t="n"/>
      <c r="R25" s="158" t="n"/>
      <c r="S25" s="159">
        <f>IFERROR(COUNTIF(HCT6_CR[CASE TYPE],Q25),"")</f>
        <v/>
      </c>
      <c r="T25" s="160">
        <f>_xlfn.XLOOKUP(Q25,HCT6_CR[CASE TYPE],HCT6_CR[AGE DISPLAY])</f>
        <v/>
      </c>
    </row>
    <row r="26" ht="19.5" customHeight="1" thickBot="1">
      <c r="A26" s="155" t="n"/>
      <c r="B26" s="146" t="inlineStr">
        <is>
          <t>MOTION</t>
        </is>
      </c>
      <c r="C26" s="149">
        <f t="array" ref="C26">IFERROR(SUMPRODUCT((HCT6_CR[CASE TYPE]=$B26)*
(YEAR(HCT6_CR[DATE ASSIGNED])=$D$21)*
(ROUNDUP(MONTH(HCT6_CR[DATE ASSIGNED])/3,0)=COLUMN(B24))),"NO CASE ASSIGNED")</f>
        <v/>
      </c>
      <c r="D26" s="149">
        <f t="array" ref="D26">IFERROR(SUMPRODUCT((HCT6_CR[CASE TYPE]=$B26)*
(YEAR(HCT6_CR[DATE ASSIGNED])=$D$21)*
(ROUNDUP(MONTH(HCT6_CR[DATE ASSIGNED])/3,0)=COLUMN(C24))),"NO CASE ASSIGNED")</f>
        <v/>
      </c>
      <c r="E26" s="149">
        <f t="array" ref="E26">IFERROR(SUMPRODUCT((HCT6_CR[CASE TYPE]=$B26)*
(YEAR(HCT6_CR[DATE ASSIGNED])=$D$21)*
(ROUNDUP(MONTH(HCT6_CR[DATE ASSIGNED])/3,0)=COLUMN(D24))),"NO CASE ASSIGNED")</f>
        <v/>
      </c>
      <c r="F26" s="149">
        <f t="array" ref="F26">IFERROR(SUMPRODUCT((HCT6_CR[CASE TYPE]=$B26)*
(YEAR(HCT6_CR[DATE ASSIGNED])=$D$21)*
(ROUNDUP(MONTH(HCT6_CR[DATE ASSIGNED])/3,0)=COLUMN(E24))),"NO CASE ASSIGNED")</f>
        <v/>
      </c>
      <c r="G26" s="161">
        <f>SUM(C26:F26)</f>
        <v/>
      </c>
      <c r="J26" s="274" t="inlineStr">
        <is>
          <t>AGE OF EACH CASE (SELECT A RANGE HERE&gt;&gt;&gt;&gt;)</t>
        </is>
      </c>
      <c r="K26" s="96" t="inlineStr">
        <is>
          <t>0 - 3 YEARS</t>
        </is>
      </c>
      <c r="Q26" s="163" t="n"/>
      <c r="R26" s="163" t="n"/>
      <c r="S26" s="159">
        <f>IFERROR(COUNTIF(HCT6_CR[CASE TYPE],Q26),"")</f>
        <v/>
      </c>
      <c r="T26" s="164" t="n"/>
    </row>
    <row r="27" ht="20.25" customHeight="1" thickBot="1" thickTop="1">
      <c r="A27" s="140" t="n"/>
      <c r="B27" s="146" t="inlineStr">
        <is>
          <t>APPEAL</t>
        </is>
      </c>
      <c r="C27" s="149">
        <f t="array" ref="C27">IFERROR(SUMPRODUCT((HCT6_CR[CASE TYPE]=$B27)*
(YEAR(HCT6_CR[DATE ASSIGNED])=$D$21)*
(ROUNDUP(MONTH(HCT6_CR[DATE ASSIGNED])/3,0)=COLUMN(B25))),"NO CASE ASSIGNED")</f>
        <v/>
      </c>
      <c r="D27" s="149">
        <f t="array" ref="D27">IFERROR(SUMPRODUCT((HCT6_CR[CASE TYPE]=$B27)*
(YEAR(HCT6_CR[DATE ASSIGNED])=$D$21)*
(ROUNDUP(MONTH(HCT6_CR[DATE ASSIGNED])/3,0)=COLUMN(C25))),"NO CASE ASSIGNED")</f>
        <v/>
      </c>
      <c r="E27" s="149">
        <f t="array" ref="E27">IFERROR(SUMPRODUCT((HCT6_CR[CASE TYPE]=$B27)*
(YEAR(HCT6_CR[DATE ASSIGNED])=$D$21)*
(ROUNDUP(MONTH(HCT6_CR[DATE ASSIGNED])/3,0)=COLUMN(D25))),"NO CASE ASSIGNED")</f>
        <v/>
      </c>
      <c r="F27" s="149">
        <f t="array" ref="F27">IFERROR(SUMPRODUCT((HCT6_CR[CASE TYPE]=$B27)*
(YEAR(HCT6_CR[DATE ASSIGNED])=$D$21)*
(ROUNDUP(MONTH(HCT6_CR[DATE ASSIGNED])/3,0)=COLUMN(E25))),"NO CASE ASSIGNED")</f>
        <v/>
      </c>
      <c r="G27" s="161">
        <f>SUM(C27:F27)</f>
        <v/>
      </c>
      <c r="J27" s="274" t="inlineStr">
        <is>
          <t>SUIT NUMBER</t>
        </is>
      </c>
      <c r="K27" s="274" t="inlineStr">
        <is>
          <t>PARTIES</t>
        </is>
      </c>
      <c r="L27" s="274" t="inlineStr">
        <is>
          <t>CLAIM</t>
        </is>
      </c>
      <c r="M27" s="274" t="inlineStr">
        <is>
          <t>STATUS</t>
        </is>
      </c>
      <c r="N27" s="274" t="inlineStr">
        <is>
          <t>ACTIVITY LEVEL</t>
        </is>
      </c>
      <c r="O27" s="143" t="inlineStr">
        <is>
          <t>AGE OF CASE</t>
        </is>
      </c>
      <c r="Q27" s="163" t="n"/>
      <c r="R27" s="163" t="n"/>
      <c r="S27" s="159">
        <f>IFERROR(COUNTIF(HCT6_CR[CASE TYPE],Q27),"")</f>
        <v/>
      </c>
      <c r="T27" s="164" t="n"/>
    </row>
    <row r="28" ht="19.5" customHeight="1" thickTop="1">
      <c r="A28" s="147" t="n"/>
      <c r="B28" s="146" t="inlineStr">
        <is>
          <t>PETITION</t>
        </is>
      </c>
      <c r="C28" s="149">
        <f t="array" ref="C28">IFERROR(SUMPRODUCT((HCT6_CR[CASE TYPE]=$B28)*
(YEAR(HCT6_CR[DATE ASSIGNED])=$D$21)*
(ROUNDUP(MONTH(HCT6_CR[DATE ASSIGNED])/3,0)=COLUMN(B26))),"NO CASE ASSIGNED")</f>
        <v/>
      </c>
      <c r="D28" s="149">
        <f t="array" ref="D28">IFERROR(SUMPRODUCT((HCT6_CR[CASE TYPE]=$B28)*
(YEAR(HCT6_CR[DATE ASSIGNED])=$D$21)*
(ROUNDUP(MONTH(HCT6_CR[DATE ASSIGNED])/3,0)=COLUMN(C26))),"NO CASE ASSIGNED")</f>
        <v/>
      </c>
      <c r="E28" s="149">
        <f t="array" ref="E28">IFERROR(SUMPRODUCT((HCT6_CR[CASE TYPE]=$B28)*
(YEAR(HCT6_CR[DATE ASSIGNED])=$D$21)*
(ROUNDUP(MONTH(HCT6_CR[DATE ASSIGNED])/3,0)=COLUMN(D26))),"NO CASE ASSIGNED")</f>
        <v/>
      </c>
      <c r="F28" s="149">
        <f t="array" ref="F28">IFERROR(SUMPRODUCT((HCT6_CR[CASE TYPE]=$B28)*
(YEAR(HCT6_CR[DATE ASSIGNED])=$D$21)*
(ROUNDUP(MONTH(HCT6_CR[DATE ASSIGNED])/3,0)=COLUMN(E26))),"NO CASE ASSIGNED")</f>
        <v/>
      </c>
      <c r="G28" s="161">
        <f>SUM(C28:F28)</f>
        <v/>
      </c>
      <c r="J28" s="149">
        <f t="array" ref="J28">IFERROR(_xlfn._xlws.FILTER(
_xlfn.CHOOSECOLS(HCT6_CR[],2,3,6,17,16,19),
(
(K26="0 - 3 YEARS")*(HCT6_CR[CURRENT AGE OF CASE]&gt;=0)*(HCT6_CR[CURRENT AGE OF CASE]&lt;=3.9)
)+
(
   (K26="4 - 6 YEARS")*(HCT6_CR[CURRENT AGE OF CASE]&gt;=4)*(HCT6_CR[CURRENT AGE OF CASE]&lt;=6.9)
)+
(
   (K26="ABOVE 7 YEARS")*(HCT6_CR[CURRENT AGE OF CASE]&gt;7)
),
"NO CASES WITHIN THIS AGE BRACKET"
)," ")</f>
        <v/>
      </c>
      <c r="K28" s="149" t="n"/>
      <c r="L28" s="149" t="n"/>
      <c r="M28" s="149" t="n"/>
      <c r="N28" s="149" t="n"/>
      <c r="O28" s="149" t="n"/>
      <c r="Q28" s="165" t="n"/>
      <c r="R28" s="165" t="n"/>
      <c r="S28" s="166">
        <f>IFERROR(COUNTIF(HCT6_CR[CASE TYPE],Q28),"")</f>
        <v/>
      </c>
      <c r="T28" s="167" t="n"/>
    </row>
    <row r="29" ht="18.75" customHeight="1">
      <c r="A29" s="141" t="n"/>
      <c r="B29" s="146" t="inlineStr">
        <is>
          <t>ORIGINATING_SUMMONS</t>
        </is>
      </c>
      <c r="C29" s="149">
        <f t="array" ref="C29">IFERROR(SUMPRODUCT((HCT6_CR[CASE TYPE]=$B29)*
(YEAR(HCT6_CR[DATE ASSIGNED])=$D$21)*
(ROUNDUP(MONTH(HCT6_CR[DATE ASSIGNED])/3,0)=COLUMN(B27))),"NO CASE ASSIGNED")</f>
        <v/>
      </c>
      <c r="D29" s="149">
        <f t="array" ref="D29">IFERROR(SUMPRODUCT((HCT6_CR[CASE TYPE]=$B29)*
(YEAR(HCT6_CR[DATE ASSIGNED])=$D$21)*
(ROUNDUP(MONTH(HCT6_CR[DATE ASSIGNED])/3,0)=COLUMN(C27))),"NO CASE ASSIGNED")</f>
        <v/>
      </c>
      <c r="E29" s="149">
        <f t="array" ref="E29">IFERROR(SUMPRODUCT((HCT6_CR[CASE TYPE]=$B29)*
(YEAR(HCT6_CR[DATE ASSIGNED])=$D$21)*
(ROUNDUP(MONTH(HCT6_CR[DATE ASSIGNED])/3,0)=COLUMN(D27))),"NO CASE ASSIGNED")</f>
        <v/>
      </c>
      <c r="F29" s="149">
        <f t="array" ref="F29">IFERROR(SUMPRODUCT((HCT6_CR[CASE TYPE]=$B29)*
(YEAR(HCT6_CR[DATE ASSIGNED])=$D$21)*
(ROUNDUP(MONTH(HCT6_CR[DATE ASSIGNED])/3,0)=COLUMN(E27))),"NO CASE ASSIGNED")</f>
        <v/>
      </c>
      <c r="G29" s="161">
        <f>SUM(C29:F29)</f>
        <v/>
      </c>
      <c r="T29" s="122" t="n"/>
    </row>
    <row r="30" ht="20.25" customHeight="1" thickBot="1">
      <c r="A30" s="268" t="n"/>
      <c r="B30" s="137" t="inlineStr">
        <is>
          <t>QUARTERLY TOTALS</t>
        </is>
      </c>
      <c r="C30" s="168">
        <f>SUM(C23:C29)</f>
        <v/>
      </c>
      <c r="D30" s="168">
        <f>SUM(D23:D29)</f>
        <v/>
      </c>
      <c r="E30" s="168">
        <f>SUM(E23:E29)</f>
        <v/>
      </c>
      <c r="F30" s="168">
        <f>SUM(F23:F29)</f>
        <v/>
      </c>
      <c r="G30" s="169">
        <f>SUM(G23:G29)</f>
        <v/>
      </c>
      <c r="T30" s="122" t="n"/>
    </row>
    <row r="31" ht="19.5" customHeight="1" thickBot="1" thickTop="1">
      <c r="A31" s="269" t="n"/>
      <c r="Q31" s="170" t="inlineStr">
        <is>
          <t>AGE OF OLDEST ACTIVE CASE</t>
        </is>
      </c>
    </row>
    <row r="32" ht="15.75" customHeight="1" thickBot="1">
      <c r="A32" s="142" t="n"/>
      <c r="B32" s="171" t="n"/>
      <c r="C32" s="171" t="n"/>
      <c r="D32" s="171" t="n"/>
      <c r="E32" s="171" t="n"/>
      <c r="F32" s="171" t="n"/>
      <c r="G32" s="171" t="n"/>
      <c r="H32" s="171" t="n"/>
      <c r="Q32" s="172">
        <f>_xlfn.MAXIFS(HCT6_CR[CURRENT AGE OF CASE],HCT6_CR[STATUS],"ACTIVE")</f>
        <v/>
      </c>
    </row>
    <row r="33">
      <c r="A33" s="142" t="n"/>
    </row>
    <row r="34" ht="18.75" customHeight="1" thickBot="1">
      <c r="A34" s="269" t="n"/>
      <c r="B34" s="275">
        <f>"QUARTERLY OVERVIEW FOR TYPES OF CASES CONCLUDED    "&amp;$D$21   &amp; " - " &amp;$F$21</f>
        <v/>
      </c>
      <c r="C34" s="121" t="n"/>
      <c r="D34" s="121" t="n"/>
      <c r="Q34" s="143" t="inlineStr">
        <is>
          <t>SUIT NUMBER</t>
        </is>
      </c>
      <c r="R34" s="143" t="inlineStr">
        <is>
          <t>PARTIES</t>
        </is>
      </c>
      <c r="S34" s="143" t="inlineStr">
        <is>
          <t>CASE TYPE</t>
        </is>
      </c>
      <c r="T34" s="143" t="inlineStr">
        <is>
          <t>CLAIM/CRIME</t>
        </is>
      </c>
    </row>
    <row r="35" ht="15.75" customHeight="1" thickTop="1">
      <c r="A35" s="268" t="n"/>
      <c r="B35" s="136" t="n"/>
      <c r="C35" s="136" t="n"/>
      <c r="D35" s="136" t="n"/>
      <c r="Q35" s="121">
        <f t="array" ref="Q35">_xlfn.IFNA(_xlfn.XLOOKUP(Q32,HCT6_CR[CURRENT AGE OF CASE],_xlfn.CHOOSECOLS(HCT6_CR[],2,3,4)),"NO RECORDS")</f>
        <v/>
      </c>
    </row>
    <row r="36">
      <c r="A36" s="141" t="n"/>
      <c r="B36" s="136" t="n"/>
      <c r="C36" s="136" t="n"/>
      <c r="D36" s="136" t="n"/>
    </row>
    <row r="37">
      <c r="A37" s="147" t="n"/>
      <c r="B37" s="136" t="n"/>
      <c r="C37" s="136" t="n"/>
      <c r="D37" s="136" t="n"/>
    </row>
    <row r="38" ht="15.75" customHeight="1" thickBot="1">
      <c r="A38" s="140" t="n"/>
    </row>
    <row r="39" ht="21.75" customHeight="1" thickBot="1">
      <c r="A39" s="155" t="n"/>
      <c r="C39" s="146" t="inlineStr">
        <is>
          <t>SELECT YEAR  &gt;&gt;&gt;&gt;&gt;&gt;</t>
        </is>
      </c>
      <c r="D39" s="61" t="n">
        <v>2018</v>
      </c>
      <c r="E39" s="146" t="inlineStr">
        <is>
          <t>SELECT QUARTER &gt;&gt;&gt;&gt;&gt;&gt;&gt;</t>
        </is>
      </c>
      <c r="F39" s="61" t="inlineStr">
        <is>
          <t>Q1</t>
        </is>
      </c>
    </row>
    <row r="40" ht="18.75" customHeight="1" thickBot="1">
      <c r="A40" s="139" t="n"/>
      <c r="B40" s="274" t="inlineStr">
        <is>
          <t>CASE TYPE</t>
        </is>
      </c>
      <c r="C40" s="148" t="inlineStr">
        <is>
          <t>Q1</t>
        </is>
      </c>
      <c r="D40" s="148" t="inlineStr">
        <is>
          <t>Q2</t>
        </is>
      </c>
      <c r="E40" s="148" t="inlineStr">
        <is>
          <t>Q3</t>
        </is>
      </c>
      <c r="F40" s="148" t="inlineStr">
        <is>
          <t>Q4</t>
        </is>
      </c>
      <c r="G40" s="274">
        <f>"TOTAL FOR YEAR          "&amp;D39</f>
        <v/>
      </c>
      <c r="H40" s="136" t="n"/>
    </row>
    <row r="41" ht="19.5" customHeight="1" thickTop="1">
      <c r="B41" s="146" t="inlineStr">
        <is>
          <t>WRIT</t>
        </is>
      </c>
      <c r="C41" s="149">
        <f t="array" ref="C41">SUMPRODUCT((HCT6_CR[CASE TYPE]=$B41)*
(YEAR(HCT6_CR[DATE CONCLUDED])=$D$39)*
(ROUNDUP(MONTH(HCT6_CR[DATE CONCLUDED])/3,0)=COLUMN(B39)))</f>
        <v/>
      </c>
      <c r="D41" s="149">
        <f t="array" ref="D41">SUMPRODUCT((HCT6_CR[CASE TYPE]=$B41)*
(YEAR(HCT6_CR[DATE CONCLUDED])=$D$39)*
(ROUNDUP(MONTH(HCT6_CR[DATE CONCLUDED])/3,0)=COLUMN(C39)))</f>
        <v/>
      </c>
      <c r="E41" s="149">
        <f t="array" ref="E41">SUMPRODUCT((HCT6_CR[CASE TYPE]=$B41)*
(YEAR(HCT6_CR[DATE CONCLUDED])=$D$39)*
(ROUNDUP(MONTH(HCT6_CR[DATE CONCLUDED])/3,0)=COLUMN(D39)))</f>
        <v/>
      </c>
      <c r="F41" s="149">
        <f t="array" ref="F41">SUMPRODUCT((HCT6_CR[CASE TYPE]=$B41)*
(YEAR(HCT6_CR[DATE CONCLUDED])=$D$39)*
(ROUNDUP(MONTH(HCT6_CR[DATE CONCLUDED])/3,0)=COLUMN(E39)))</f>
        <v/>
      </c>
      <c r="G41" s="156">
        <f>SUM(C41:F41)</f>
        <v/>
      </c>
    </row>
    <row r="42" ht="18.75" customHeight="1">
      <c r="A42" s="139" t="n"/>
      <c r="B42" s="146" t="inlineStr">
        <is>
          <t>CRIMINAL_MATTER</t>
        </is>
      </c>
      <c r="C42" s="149">
        <f t="array" ref="C42">SUMPRODUCT((HCT6_CR[CASE TYPE]=$B42)*
(YEAR(HCT6_CR[DATE CONCLUDED])=$D$39)*
(ROUNDUP(MONTH(HCT6_CR[DATE CONCLUDED])/3,0)=COLUMN(B40)))</f>
        <v/>
      </c>
      <c r="D42" s="149">
        <f t="array" ref="D42">SUMPRODUCT((HCT6_CR[CASE TYPE]=$B42)*
(YEAR(HCT6_CR[DATE CONCLUDED])=$D$39)*
(ROUNDUP(MONTH(HCT6_CR[DATE CONCLUDED])/3,0)=COLUMN(C40)))</f>
        <v/>
      </c>
      <c r="E42" s="149">
        <f t="array" ref="E42">SUMPRODUCT((HCT6_CR[CASE TYPE]=$B42)*
(YEAR(HCT6_CR[DATE CONCLUDED])=$D$39)*
(ROUNDUP(MONTH(HCT6_CR[DATE CONCLUDED])/3,0)=COLUMN(D40)))</f>
        <v/>
      </c>
      <c r="F42" s="149">
        <f t="array" ref="F42">SUMPRODUCT((HCT6_CR[CASE TYPE]=$B42)*
(YEAR(HCT6_CR[DATE CONCLUDED])=$D$39)*
(ROUNDUP(MONTH(HCT6_CR[DATE CONCLUDED])/3,0)=COLUMN(E40)))</f>
        <v/>
      </c>
      <c r="G42" s="161">
        <f>SUM(C42:F42)</f>
        <v/>
      </c>
    </row>
    <row r="43" ht="18.75" customHeight="1">
      <c r="A43" s="155" t="n"/>
      <c r="B43" s="146" t="inlineStr">
        <is>
          <t>FHR</t>
        </is>
      </c>
      <c r="C43" s="149">
        <f t="array" ref="C43">SUMPRODUCT((HCT6_CR[CASE TYPE]=$B43)*
(YEAR(HCT6_CR[DATE CONCLUDED])=$D$39)*
(ROUNDUP(MONTH(HCT6_CR[DATE CONCLUDED])/3,0)=COLUMN(B41)))</f>
        <v/>
      </c>
      <c r="D43" s="149">
        <f t="array" ref="D43">SUMPRODUCT((HCT6_CR[CASE TYPE]=$B43)*
(YEAR(HCT6_CR[DATE CONCLUDED])=$D$39)*
(ROUNDUP(MONTH(HCT6_CR[DATE CONCLUDED])/3,0)=COLUMN(C41)))</f>
        <v/>
      </c>
      <c r="E43" s="149">
        <f t="array" ref="E43">SUMPRODUCT((HCT6_CR[CASE TYPE]=$B43)*
(YEAR(HCT6_CR[DATE CONCLUDED])=$D$39)*
(ROUNDUP(MONTH(HCT6_CR[DATE CONCLUDED])/3,0)=COLUMN(D41)))</f>
        <v/>
      </c>
      <c r="F43" s="149">
        <f t="array" ref="F43">SUMPRODUCT((HCT6_CR[CASE TYPE]=$B43)*
(YEAR(HCT6_CR[DATE CONCLUDED])=$D$39)*
(ROUNDUP(MONTH(HCT6_CR[DATE CONCLUDED])/3,0)=COLUMN(E41)))</f>
        <v/>
      </c>
      <c r="G43" s="161">
        <f>SUM(C43:F43)</f>
        <v/>
      </c>
    </row>
    <row r="44" ht="18.75" customHeight="1">
      <c r="A44" s="140" t="n"/>
      <c r="B44" s="146" t="inlineStr">
        <is>
          <t>MOTION</t>
        </is>
      </c>
      <c r="C44" s="149">
        <f t="array" ref="C44">SUMPRODUCT((HCT6_CR[CASE TYPE]=$B44)*
(YEAR(HCT6_CR[DATE CONCLUDED])=$D$39)*
(ROUNDUP(MONTH(HCT6_CR[DATE CONCLUDED])/3,0)=COLUMN(B42)))</f>
        <v/>
      </c>
      <c r="D44" s="149">
        <f t="array" ref="D44">SUMPRODUCT((HCT6_CR[CASE TYPE]=$B44)*
(YEAR(HCT6_CR[DATE CONCLUDED])=$D$39)*
(ROUNDUP(MONTH(HCT6_CR[DATE CONCLUDED])/3,0)=COLUMN(C42)))</f>
        <v/>
      </c>
      <c r="E44" s="149">
        <f t="array" ref="E44">SUMPRODUCT((HCT6_CR[CASE TYPE]=$B44)*
(YEAR(HCT6_CR[DATE CONCLUDED])=$D$39)*
(ROUNDUP(MONTH(HCT6_CR[DATE CONCLUDED])/3,0)=COLUMN(D42)))</f>
        <v/>
      </c>
      <c r="F44" s="149">
        <f t="array" ref="F44">SUMPRODUCT((HCT6_CR[CASE TYPE]=$B44)*
(YEAR(HCT6_CR[DATE CONCLUDED])=$D$39)*
(ROUNDUP(MONTH(HCT6_CR[DATE CONCLUDED])/3,0)=COLUMN(E42)))</f>
        <v/>
      </c>
      <c r="G44" s="161">
        <f>SUM(C44:F44)</f>
        <v/>
      </c>
    </row>
    <row r="45" ht="18.75" customHeight="1">
      <c r="A45" s="147" t="n"/>
      <c r="B45" s="146" t="inlineStr">
        <is>
          <t>APPEAL</t>
        </is>
      </c>
      <c r="C45" s="149">
        <f t="array" ref="C45">SUMPRODUCT((HCT6_CR[CASE TYPE]=$B45)*
(YEAR(HCT6_CR[DATE CONCLUDED])=$D$39)*
(ROUNDUP(MONTH(HCT6_CR[DATE CONCLUDED])/3,0)=COLUMN(B43)))</f>
        <v/>
      </c>
      <c r="D45" s="149">
        <f t="array" ref="D45">SUMPRODUCT((HCT6_CR[CASE TYPE]=$B45)*
(YEAR(HCT6_CR[DATE CONCLUDED])=$D$39)*
(ROUNDUP(MONTH(HCT6_CR[DATE CONCLUDED])/3,0)=COLUMN(C43)))</f>
        <v/>
      </c>
      <c r="E45" s="149">
        <f t="array" ref="E45">SUMPRODUCT((HCT6_CR[CASE TYPE]=$B45)*
(YEAR(HCT6_CR[DATE CONCLUDED])=$D$39)*
(ROUNDUP(MONTH(HCT6_CR[DATE CONCLUDED])/3,0)=COLUMN(D43)))</f>
        <v/>
      </c>
      <c r="F45" s="149">
        <f t="array" ref="F45">SUMPRODUCT((HCT6_CR[CASE TYPE]=$B45)*
(YEAR(HCT6_CR[DATE CONCLUDED])=$D$39)*
(ROUNDUP(MONTH(HCT6_CR[DATE CONCLUDED])/3,0)=COLUMN(E43)))</f>
        <v/>
      </c>
      <c r="G45" s="161">
        <f>SUM(C45:F45)</f>
        <v/>
      </c>
    </row>
    <row r="46" ht="18.75" customHeight="1">
      <c r="A46" s="141" t="n"/>
      <c r="B46" s="146" t="inlineStr">
        <is>
          <t>PETITION</t>
        </is>
      </c>
      <c r="C46" s="149">
        <f t="array" ref="C46">SUMPRODUCT((HCT6_CR[CASE TYPE]=$B46)*
(YEAR(HCT6_CR[DATE CONCLUDED])=$D$39)*
(ROUNDUP(MONTH(HCT6_CR[DATE CONCLUDED])/3,0)=COLUMN(B44)))</f>
        <v/>
      </c>
      <c r="D46" s="149">
        <f t="array" ref="D46">SUMPRODUCT((HCT6_CR[CASE TYPE]=$B46)*
(YEAR(HCT6_CR[DATE CONCLUDED])=$D$39)*
(ROUNDUP(MONTH(HCT6_CR[DATE CONCLUDED])/3,0)=COLUMN(C44)))</f>
        <v/>
      </c>
      <c r="E46" s="149">
        <f t="array" ref="E46">SUMPRODUCT((HCT6_CR[CASE TYPE]=$B46)*
(YEAR(HCT6_CR[DATE CONCLUDED])=$D$39)*
(ROUNDUP(MONTH(HCT6_CR[DATE CONCLUDED])/3,0)=COLUMN(D44)))</f>
        <v/>
      </c>
      <c r="F46" s="149">
        <f t="array" ref="F46">SUMPRODUCT((HCT6_CR[CASE TYPE]=$B46)*
(YEAR(HCT6_CR[DATE CONCLUDED])=$D$39)*
(ROUNDUP(MONTH(HCT6_CR[DATE CONCLUDED])/3,0)=COLUMN(E44)))</f>
        <v/>
      </c>
      <c r="G46" s="161">
        <f>SUM(C46:F46)</f>
        <v/>
      </c>
    </row>
    <row r="47" ht="18.75" customHeight="1">
      <c r="A47" s="268" t="n"/>
      <c r="B47" s="146" t="inlineStr">
        <is>
          <t>ORIGINATING_SUMMONS</t>
        </is>
      </c>
      <c r="C47" s="149">
        <f t="array" ref="C47">SUMPRODUCT((HCT6_CR[CASE TYPE]=$B47)*
(YEAR(HCT6_CR[DATE CONCLUDED])=$D$39)*
(ROUNDUP(MONTH(HCT6_CR[DATE CONCLUDED])/3,0)=COLUMN(B45)))</f>
        <v/>
      </c>
      <c r="D47" s="149">
        <f t="array" ref="D47">SUMPRODUCT((HCT6_CR[CASE TYPE]=$B47)*
(YEAR(HCT6_CR[DATE CONCLUDED])=$D$39)*
(ROUNDUP(MONTH(HCT6_CR[DATE CONCLUDED])/3,0)=COLUMN(C45)))</f>
        <v/>
      </c>
      <c r="E47" s="149">
        <f t="array" ref="E47">SUMPRODUCT((HCT6_CR[CASE TYPE]=$B47)*
(YEAR(HCT6_CR[DATE CONCLUDED])=$D$39)*
(ROUNDUP(MONTH(HCT6_CR[DATE CONCLUDED])/3,0)=COLUMN(D45)))</f>
        <v/>
      </c>
      <c r="F47" s="149">
        <f t="array" ref="F47">SUMPRODUCT((HCT6_CR[CASE TYPE]=$B47)*
(YEAR(HCT6_CR[DATE CONCLUDED])=$D$39)*
(ROUNDUP(MONTH(HCT6_CR[DATE CONCLUDED])/3,0)=COLUMN(E45)))</f>
        <v/>
      </c>
      <c r="G47" s="161">
        <f>SUM(C47:F47)</f>
        <v/>
      </c>
    </row>
    <row r="48" ht="20.25" customHeight="1" thickBot="1">
      <c r="A48" s="269" t="n"/>
      <c r="B48" s="173" t="inlineStr">
        <is>
          <t>QUARTERLY TOTALS</t>
        </is>
      </c>
      <c r="C48" s="168">
        <f>SUM(C41:C47)</f>
        <v/>
      </c>
      <c r="D48" s="168">
        <f>SUM(D41:D47)</f>
        <v/>
      </c>
      <c r="E48" s="168">
        <f>SUM(E41:E47)</f>
        <v/>
      </c>
      <c r="F48" s="137">
        <f>SUM(F41:F47)</f>
        <v/>
      </c>
      <c r="G48" s="169">
        <f>SUM(G41:G47)</f>
        <v/>
      </c>
    </row>
    <row r="49" ht="15.75" customHeight="1" thickTop="1">
      <c r="A49" s="142" t="n"/>
    </row>
    <row r="50">
      <c r="B50" s="171" t="n"/>
      <c r="C50" s="171" t="n"/>
      <c r="D50" s="171" t="n"/>
      <c r="E50" s="171" t="n"/>
      <c r="F50" s="171" t="n"/>
      <c r="G50" s="171" t="n"/>
      <c r="H50" s="171" t="n"/>
    </row>
    <row r="51">
      <c r="A51" s="139" t="n"/>
    </row>
    <row r="52" ht="21.75" customHeight="1" thickBot="1">
      <c r="A52" s="155" t="n"/>
      <c r="B52" s="274">
        <f>"QUARTERLY OVERVIEW OF CASE PROGRESSION FOR    "&amp;$D$57 &amp;" - "&amp;$F$57</f>
        <v/>
      </c>
      <c r="C52" s="286" t="n"/>
    </row>
    <row r="53" ht="21.75" customHeight="1" thickTop="1">
      <c r="A53" s="140" t="n"/>
      <c r="B53" s="174" t="inlineStr">
        <is>
          <t>WORK LOAD ANALYSIS PER QUARTER</t>
        </is>
      </c>
      <c r="C53" s="136" t="n"/>
    </row>
    <row r="54" ht="21.75" customHeight="1">
      <c r="A54" s="147" t="n"/>
      <c r="B54" s="136" t="inlineStr">
        <is>
          <t>NUMBER OF ACTIVE CASES ONGOING CASES</t>
        </is>
      </c>
      <c r="C54" s="136" t="n"/>
    </row>
    <row r="55" ht="21.75" customHeight="1">
      <c r="A55" s="141" t="n"/>
      <c r="C55" s="136" t="n"/>
    </row>
    <row r="56" ht="21.75" customHeight="1" thickBot="1">
      <c r="A56" s="268" t="n"/>
      <c r="B56" s="136" t="n"/>
      <c r="C56" s="136" t="n"/>
    </row>
    <row r="57" ht="21.75" customHeight="1" thickBot="1">
      <c r="A57" s="269" t="n"/>
      <c r="C57" s="146" t="inlineStr">
        <is>
          <t>SELECT YEAR  &gt;&gt;&gt;&gt;&gt;&gt;</t>
        </is>
      </c>
      <c r="D57" s="61" t="n">
        <v>2018</v>
      </c>
      <c r="E57" s="146" t="inlineStr">
        <is>
          <t>SELECT QUARTER &gt;&gt;&gt;&gt;&gt;&gt;&gt;</t>
        </is>
      </c>
      <c r="F57" s="61" t="inlineStr">
        <is>
          <t>Q1</t>
        </is>
      </c>
    </row>
    <row r="58" ht="18.75" customHeight="1" thickBot="1">
      <c r="A58" s="142" t="n"/>
      <c r="B58" s="274" t="inlineStr">
        <is>
          <t>STATUS</t>
        </is>
      </c>
      <c r="C58" s="274" t="inlineStr">
        <is>
          <t>Q1</t>
        </is>
      </c>
      <c r="D58" s="274" t="inlineStr">
        <is>
          <t>Q2</t>
        </is>
      </c>
      <c r="E58" s="274" t="inlineStr">
        <is>
          <t>Q3</t>
        </is>
      </c>
      <c r="F58" s="274" t="inlineStr">
        <is>
          <t>Q4</t>
        </is>
      </c>
      <c r="G58" s="274">
        <f>"TOTAL FOR YEAR                  " &amp;$D57</f>
        <v/>
      </c>
      <c r="H58" s="136" t="n"/>
    </row>
    <row r="59" ht="19.5" customHeight="1" thickTop="1">
      <c r="A59" s="142" t="n"/>
      <c r="B59" s="146" t="inlineStr">
        <is>
          <t>FOR PTC</t>
        </is>
      </c>
      <c r="C59" s="149">
        <f t="array" ref="C59">SUMPRODUCT((HCT6_HL[PURPOSE]=$B59)*
(YEAR(HCT6_HL[HEARING DATE])=$D$57)*
(ROUNDUP(MONTH(HCT6_HL[HEARING DATE])/3,0)=COLUMN(B57)))</f>
        <v/>
      </c>
      <c r="D59" s="149">
        <f t="array" ref="D59">SUMPRODUCT((HCT6_HL[PURPOSE]=$B59)*
(YEAR(HCT6_HL[HEARING DATE])=$D$57)*
(ROUNDUP(MONTH(HCT6_HL[HEARING DATE])/3,0)=COLUMN(C57)))</f>
        <v/>
      </c>
      <c r="E59" s="149">
        <f t="array" ref="E59">SUMPRODUCT((HCT6_HL[PURPOSE]=$B59)*
(YEAR(HCT6_HL[HEARING DATE])=$D$57)*
(ROUNDUP(MONTH(HCT6_HL[HEARING DATE])/3,0)=COLUMN(D57)))</f>
        <v/>
      </c>
      <c r="F59" s="149">
        <f t="array" ref="F59">SUMPRODUCT((HCT6_HL[PURPOSE]=$B59)*
(YEAR(HCT6_HL[HEARING DATE])=$D$57)*
(ROUNDUP(MONTH(HCT6_HL[HEARING DATE])/3,0)=COLUMN(E57)))</f>
        <v/>
      </c>
      <c r="G59" s="175">
        <f>SUM(C59:F59)</f>
        <v/>
      </c>
    </row>
    <row r="60" ht="18.75" customHeight="1">
      <c r="A60" s="269" t="n"/>
      <c r="B60" s="146" t="inlineStr">
        <is>
          <t>FOR ARRAIGNMENT</t>
        </is>
      </c>
      <c r="C60" s="149">
        <f t="array" ref="C60">SUMPRODUCT((HCT6_HL[PURPOSE]=$B60)*
(YEAR(HCT6_HL[HEARING DATE])=$D$57)*
(ROUNDUP(MONTH(HCT6_HL[HEARING DATE])/3,0)=COLUMN(B58)))</f>
        <v/>
      </c>
      <c r="D60" s="149">
        <f t="array" ref="D60">SUMPRODUCT((HCT6_HL[PURPOSE]=$B60)*
(YEAR(HCT6_HL[HEARING DATE])=$D$57)*
(ROUNDUP(MONTH(HCT6_HL[HEARING DATE])/3,0)=COLUMN(C58)))</f>
        <v/>
      </c>
      <c r="E60" s="149">
        <f t="array" ref="E60">SUMPRODUCT((HCT6_HL[PURPOSE]=$B60)*
(YEAR(HCT6_HL[HEARING DATE])=$D$57)*
(ROUNDUP(MONTH(HCT6_HL[HEARING DATE])/3,0)=COLUMN(D58)))</f>
        <v/>
      </c>
      <c r="F60" s="149">
        <f t="array" ref="F60">SUMPRODUCT((HCT6_HL[PURPOSE]=$B60)*
(YEAR(HCT6_HL[HEARING DATE])=$D$57)*
(ROUNDUP(MONTH(HCT6_HL[HEARING DATE])/3,0)=COLUMN(E58)))</f>
        <v/>
      </c>
      <c r="G60" s="145">
        <f>SUM(C60:F60)</f>
        <v/>
      </c>
    </row>
    <row r="61" ht="18.75" customHeight="1">
      <c r="A61" s="268" t="n"/>
      <c r="B61" s="146" t="inlineStr">
        <is>
          <t>APPLICATION FOR BAIL</t>
        </is>
      </c>
      <c r="C61" s="149">
        <f t="array" ref="C61">SUMPRODUCT((HCT6_HL[PURPOSE]=$B61)*
(YEAR(HCT6_HL[HEARING DATE])=$D$57)*
(ROUNDUP(MONTH(HCT6_HL[HEARING DATE])/3,0)=COLUMN(B59)))</f>
        <v/>
      </c>
      <c r="D61" s="149">
        <f t="array" ref="D61">SUMPRODUCT((HCT6_HL[PURPOSE]=$B61)*
(YEAR(HCT6_HL[HEARING DATE])=$D$57)*
(ROUNDUP(MONTH(HCT6_HL[HEARING DATE])/3,0)=COLUMN(C59)))</f>
        <v/>
      </c>
      <c r="E61" s="149">
        <f t="array" ref="E61">SUMPRODUCT((HCT6_HL[PURPOSE]=$B61)*
(YEAR(HCT6_HL[HEARING DATE])=$D$57)*
(ROUNDUP(MONTH(HCT6_HL[HEARING DATE])/3,0)=COLUMN(D59)))</f>
        <v/>
      </c>
      <c r="F61" s="149">
        <f t="array" ref="F61">SUMPRODUCT((HCT6_HL[PURPOSE]=$B61)*
(YEAR(HCT6_HL[HEARING DATE])=$D$57)*
(ROUNDUP(MONTH(HCT6_HL[HEARING DATE])/3,0)=COLUMN(E59)))</f>
        <v/>
      </c>
      <c r="G61" s="145">
        <f>SUM(C61:F61)</f>
        <v/>
      </c>
    </row>
    <row r="62" ht="18.75" customHeight="1">
      <c r="A62" s="141" t="n"/>
      <c r="B62" s="146" t="inlineStr">
        <is>
          <t>FOR TRIAL</t>
        </is>
      </c>
      <c r="C62" s="149">
        <f t="array" ref="C62">SUMPRODUCT((HCT6_HL[PURPOSE]=$B62)*
(YEAR(HCT6_HL[HEARING DATE])=$D$57)*
(ROUNDUP(MONTH(HCT6_HL[HEARING DATE])/3,0)=COLUMN(B60)))</f>
        <v/>
      </c>
      <c r="D62" s="149">
        <f t="array" ref="D62">SUMPRODUCT((HCT6_HL[PURPOSE]=$B62)*
(YEAR(HCT6_HL[HEARING DATE])=$D$57)*
(ROUNDUP(MONTH(HCT6_HL[HEARING DATE])/3,0)=COLUMN(C60)))</f>
        <v/>
      </c>
      <c r="E62" s="149">
        <f t="array" ref="E62">SUMPRODUCT((HCT6_HL[PURPOSE]=$B62)*
(YEAR(HCT6_HL[HEARING DATE])=$D$57)*
(ROUNDUP(MONTH(HCT6_HL[HEARING DATE])/3,0)=COLUMN(D60)))</f>
        <v/>
      </c>
      <c r="F62" s="149">
        <f t="array" ref="F62">SUMPRODUCT((HCT6_HL[PURPOSE]=$B62)*
(YEAR(HCT6_HL[HEARING DATE])=$D$57)*
(ROUNDUP(MONTH(HCT6_HL[HEARING DATE])/3,0)=COLUMN(E60)))</f>
        <v/>
      </c>
      <c r="G62" s="145">
        <f>SUM(C62:F62)</f>
        <v/>
      </c>
    </row>
    <row r="63" ht="18.75" customHeight="1">
      <c r="A63" s="147" t="n"/>
      <c r="B63" s="146" t="inlineStr">
        <is>
          <t>FOR HEARING</t>
        </is>
      </c>
      <c r="C63" s="149">
        <f t="array" ref="C63">SUMPRODUCT((HCT6_HL[PURPOSE]=$B63)*
(YEAR(HCT6_HL[HEARING DATE])=$D$57)*
(ROUNDUP(MONTH(HCT6_HL[HEARING DATE])/3,0)=COLUMN(B61)))</f>
        <v/>
      </c>
      <c r="D63" s="149">
        <f t="array" ref="D63">SUMPRODUCT((HCT6_HL[PURPOSE]=$B63)*
(YEAR(HCT6_HL[HEARING DATE])=$D$57)*
(ROUNDUP(MONTH(HCT6_HL[HEARING DATE])/3,0)=COLUMN(C61)))</f>
        <v/>
      </c>
      <c r="E63" s="149">
        <f t="array" ref="E63">SUMPRODUCT((HCT6_HL[PURPOSE]=$B63)*
(YEAR(HCT6_HL[HEARING DATE])=$D$57)*
(ROUNDUP(MONTH(HCT6_HL[HEARING DATE])/3,0)=COLUMN(D61)))</f>
        <v/>
      </c>
      <c r="F63" s="149">
        <f t="array" ref="F63">SUMPRODUCT((HCT6_HL[PURPOSE]=$B63)*
(YEAR(HCT6_HL[HEARING DATE])=$D$57)*
(ROUNDUP(MONTH(HCT6_HL[HEARING DATE])/3,0)=COLUMN(E61)))</f>
        <v/>
      </c>
      <c r="G63" s="145">
        <f>SUM(C63:F63)</f>
        <v/>
      </c>
    </row>
    <row r="64" ht="18.75" customHeight="1">
      <c r="A64" s="140" t="n"/>
      <c r="B64" s="146" t="inlineStr">
        <is>
          <t>FOR DEFENCE</t>
        </is>
      </c>
      <c r="C64" s="149">
        <f t="array" ref="C64">SUMPRODUCT((HCT6_HL[PURPOSE]=$B64)*
(YEAR(HCT6_HL[HEARING DATE])=$D$57)*
(ROUNDUP(MONTH(HCT6_HL[HEARING DATE])/3,0)=COLUMN(B62)))</f>
        <v/>
      </c>
      <c r="D64" s="149">
        <f t="array" ref="D64">SUMPRODUCT((HCT6_HL[PURPOSE]=$B64)*
(YEAR(HCT6_HL[HEARING DATE])=$D$57)*
(ROUNDUP(MONTH(HCT6_HL[HEARING DATE])/3,0)=COLUMN(C62)))</f>
        <v/>
      </c>
      <c r="E64" s="149">
        <f t="array" ref="E64">SUMPRODUCT((HCT6_HL[PURPOSE]=$B64)*
(YEAR(HCT6_HL[HEARING DATE])=$D$57)*
(ROUNDUP(MONTH(HCT6_HL[HEARING DATE])/3,0)=COLUMN(D62)))</f>
        <v/>
      </c>
      <c r="F64" s="149">
        <f t="array" ref="F64">SUMPRODUCT((HCT6_HL[PURPOSE]=$B64)*
(YEAR(HCT6_HL[HEARING DATE])=$D$57)*
(ROUNDUP(MONTH(HCT6_HL[HEARING DATE])/3,0)=COLUMN(E62)))</f>
        <v/>
      </c>
      <c r="G64" s="145">
        <f>SUM(C64:F64)</f>
        <v/>
      </c>
    </row>
    <row r="65" ht="18.75" customHeight="1">
      <c r="A65" s="155" t="n"/>
      <c r="B65" s="146" t="inlineStr">
        <is>
          <t>FOR ADDRESS</t>
        </is>
      </c>
      <c r="C65" s="149">
        <f t="array" ref="C65">SUMPRODUCT((HCT6_HL[PURPOSE]=$B65)*
(YEAR(HCT6_HL[HEARING DATE])=$D$57)*
(ROUNDUP(MONTH(HCT6_HL[HEARING DATE])/3,0)=COLUMN(B63)))</f>
        <v/>
      </c>
      <c r="D65" s="149">
        <f t="array" ref="D65">SUMPRODUCT((HCT6_HL[PURPOSE]=$B65)*
(YEAR(HCT6_HL[HEARING DATE])=$D$57)*
(ROUNDUP(MONTH(HCT6_HL[HEARING DATE])/3,0)=COLUMN(C63)))</f>
        <v/>
      </c>
      <c r="E65" s="149">
        <f t="array" ref="E65">SUMPRODUCT((HCT6_HL[PURPOSE]=$B65)*
(YEAR(HCT6_HL[HEARING DATE])=$D$57)*
(ROUNDUP(MONTH(HCT6_HL[HEARING DATE])/3,0)=COLUMN(D63)))</f>
        <v/>
      </c>
      <c r="F65" s="149">
        <f t="array" ref="F65">SUMPRODUCT((HCT6_HL[PURPOSE]=$B65)*
(YEAR(HCT6_HL[HEARING DATE])=$D$57)*
(ROUNDUP(MONTH(HCT6_HL[HEARING DATE])/3,0)=COLUMN(E63)))</f>
        <v/>
      </c>
      <c r="G65" s="145">
        <f>SUM(C65:F65)</f>
        <v/>
      </c>
    </row>
    <row r="66" ht="18.75" customHeight="1">
      <c r="A66" s="139" t="n"/>
      <c r="B66" s="146" t="inlineStr">
        <is>
          <t>FOR JUDGMENT</t>
        </is>
      </c>
      <c r="C66" s="149">
        <f t="array" ref="C66">SUMPRODUCT((HCT6_HL[PURPOSE]=$B66)*
(YEAR(HCT6_HL[HEARING DATE])=$D$57)*
(ROUNDUP(MONTH(HCT6_HL[HEARING DATE])/3,0)=COLUMN(B64)))</f>
        <v/>
      </c>
      <c r="D66" s="149">
        <f t="array" ref="D66">SUMPRODUCT((HCT6_HL[PURPOSE]=$B66)*
(YEAR(HCT6_HL[HEARING DATE])=$D$57)*
(ROUNDUP(MONTH(HCT6_HL[HEARING DATE])/3,0)=COLUMN(C64)))</f>
        <v/>
      </c>
      <c r="E66" s="149">
        <f t="array" ref="E66">SUMPRODUCT((HCT6_HL[PURPOSE]=$B66)*
(YEAR(HCT6_HL[HEARING DATE])=$D$57)*
(ROUNDUP(MONTH(HCT6_HL[HEARING DATE])/3,0)=COLUMN(D64)))</f>
        <v/>
      </c>
      <c r="F66" s="149">
        <f t="array" ref="F66">SUMPRODUCT((HCT6_HL[PURPOSE]=$B66)*
(YEAR(HCT6_HL[HEARING DATE])=$D$57)*
(ROUNDUP(MONTH(HCT6_HL[HEARING DATE])/3,0)=COLUMN(E64)))</f>
        <v/>
      </c>
      <c r="G66" s="145">
        <f>SUM(C66:F66)</f>
        <v/>
      </c>
    </row>
    <row r="67" ht="20.25" customHeight="1" thickBot="1">
      <c r="A67" s="139" t="n"/>
      <c r="B67" s="137" t="inlineStr">
        <is>
          <t>QUARTERLY TOTALS</t>
        </is>
      </c>
      <c r="C67" s="137">
        <f>SUM(C59:C66)</f>
        <v/>
      </c>
      <c r="D67" s="137">
        <f>SUM(D59:D66)</f>
        <v/>
      </c>
      <c r="E67" s="137">
        <f>SUM(E59:E66)</f>
        <v/>
      </c>
      <c r="F67" s="137">
        <f>SUM(F59:F66)</f>
        <v/>
      </c>
      <c r="G67" s="176">
        <f>SUM(G59:H66)</f>
        <v/>
      </c>
    </row>
    <row r="68" ht="15.75" customHeight="1" thickTop="1">
      <c r="A68" s="155" t="n"/>
    </row>
    <row r="69">
      <c r="A69" s="140" t="n"/>
    </row>
    <row r="70">
      <c r="A70" s="147" t="n"/>
      <c r="B70" s="171" t="n"/>
      <c r="C70" s="171" t="n"/>
      <c r="D70" s="171" t="n"/>
      <c r="E70" s="171" t="n"/>
      <c r="F70" s="171" t="n"/>
      <c r="G70" s="171" t="n"/>
      <c r="H70" s="171" t="n"/>
    </row>
    <row r="71">
      <c r="A71" s="141" t="n"/>
    </row>
    <row r="72" ht="19.5" customHeight="1" thickBot="1">
      <c r="A72" s="268" t="n"/>
      <c r="B72" s="177" t="inlineStr">
        <is>
          <t>REPORT SUMMARY</t>
        </is>
      </c>
    </row>
    <row r="73" ht="15.75" customHeight="1" thickTop="1">
      <c r="A73" s="269" t="n"/>
      <c r="B73" s="136" t="n"/>
    </row>
    <row r="74">
      <c r="A74" s="142" t="n"/>
      <c r="B74" s="136" t="n"/>
    </row>
    <row r="75">
      <c r="A75" s="142" t="n"/>
      <c r="B75" s="136" t="n"/>
    </row>
    <row r="76">
      <c r="A76" s="139" t="n"/>
      <c r="B76" s="136" t="n"/>
    </row>
    <row r="77">
      <c r="A77" s="155" t="n"/>
      <c r="B77" s="136" t="n"/>
    </row>
    <row r="78" ht="15.75" customHeight="1" thickBot="1">
      <c r="A78" s="140" t="n"/>
      <c r="B78" s="136" t="n"/>
    </row>
    <row r="79" ht="19.5" customHeight="1" thickBot="1">
      <c r="A79" s="147" t="n"/>
      <c r="B79" s="136" t="n"/>
      <c r="C79" s="178" t="inlineStr">
        <is>
          <t>SELECT YEAR              &gt;&gt;&gt;&gt;</t>
        </is>
      </c>
      <c r="D79" s="179" t="n">
        <v>2026</v>
      </c>
      <c r="E79" s="178" t="inlineStr">
        <is>
          <t>SELECT QUARTER          &gt;&gt;&gt;&gt;&gt;</t>
        </is>
      </c>
      <c r="F79" s="179" t="inlineStr">
        <is>
          <t>Q3</t>
        </is>
      </c>
    </row>
    <row r="80" ht="19.5" customHeight="1" thickBot="1">
      <c r="A80" s="141" t="n"/>
      <c r="B80" s="177" t="inlineStr">
        <is>
          <t>BREAKDOWN OF CONCLUDED MATTERS/RULINGS</t>
        </is>
      </c>
      <c r="C80" s="180" t="inlineStr">
        <is>
          <t>Q1</t>
        </is>
      </c>
      <c r="D80" s="181" t="inlineStr">
        <is>
          <t>Q2</t>
        </is>
      </c>
      <c r="E80" s="181" t="inlineStr">
        <is>
          <t>Q3</t>
        </is>
      </c>
      <c r="F80" s="181" t="inlineStr">
        <is>
          <t>Q4</t>
        </is>
      </c>
      <c r="G80" s="182">
        <f>"TOTAL FOR THE YEAR   " &amp; $D$79</f>
        <v/>
      </c>
    </row>
    <row r="81" ht="19.5" customHeight="1" thickTop="1">
      <c r="A81" s="268" t="n"/>
      <c r="B81" s="112" t="inlineStr">
        <is>
          <t xml:space="preserve">JUDGMENTS DELVERED </t>
        </is>
      </c>
      <c r="C81" s="149">
        <f t="array" ref="C81">SUMPRODUCT((HCT6_HL[OUTCOME]=$B81)*
(YEAR(HCT6_HL[HEARING DATE])=$D$79)*
(ROUNDUP(MONTH(HCT6_HL[HEARING DATE])/3,0)=COLUMN(B79)))</f>
        <v/>
      </c>
      <c r="D81" s="149">
        <f t="array" ref="D81">SUMPRODUCT((HCT6_HL[OUTCOME]=$B81)*
(YEAR(HCT6_HL[HEARING DATE])=$D$79)*
(ROUNDUP(MONTH(HCT6_HL[HEARING DATE])/3,0)=COLUMN(C79)))</f>
        <v/>
      </c>
      <c r="E81" s="149">
        <f t="array" ref="E81">SUMPRODUCT((HCT6_HL[OUTCOME]=$B81)*
(YEAR(HCT6_HL[HEARING DATE])=$D$79)*
(ROUNDUP(MONTH(HCT6_HL[HEARING DATE])/3,0)=COLUMN(D79)))</f>
        <v/>
      </c>
      <c r="F81" s="149">
        <f t="array" ref="F81">SUMPRODUCT((HCT6_HL[OUTCOME]=$B81)*
(YEAR(HCT6_HL[HEARING DATE])=$D$79)*
(ROUNDUP(MONTH(HCT6_HL[HEARING DATE])/3,0)=COLUMN(E79)))</f>
        <v/>
      </c>
      <c r="G81" s="149">
        <f>SUM(C81:F81)</f>
        <v/>
      </c>
    </row>
    <row r="82" ht="18.75" customHeight="1">
      <c r="A82" s="269" t="n"/>
      <c r="B82" s="183" t="inlineStr">
        <is>
          <t xml:space="preserve">RULING DELIVERED </t>
        </is>
      </c>
      <c r="C82" s="149">
        <f t="array" ref="C82">SUMPRODUCT((HCT6_HL[OUTCOME]=$B82)*
(YEAR(HCT6_HL[HEARING DATE])=$D$79)*
(ROUNDUP(MONTH(HCT6_HL[HEARING DATE])/3,0)=COLUMN(B80)))</f>
        <v/>
      </c>
      <c r="D82" s="149">
        <f t="array" ref="D82">SUMPRODUCT((HCT6_HL[OUTCOME]=$B82)*
(YEAR(HCT6_HL[HEARING DATE])=$D$79)*
(ROUNDUP(MONTH(HCT6_HL[HEARING DATE])/3,0)=COLUMN(C80)))</f>
        <v/>
      </c>
      <c r="E82" s="149">
        <f t="array" ref="E82">SUMPRODUCT((HCT6_HL[OUTCOME]=$B82)*
(YEAR(HCT6_HL[HEARING DATE])=$D$79)*
(ROUNDUP(MONTH(HCT6_HL[HEARING DATE])/3,0)=COLUMN(D80)))</f>
        <v/>
      </c>
      <c r="F82" s="149">
        <f t="array" ref="F82">SUMPRODUCT((HCT6_HL[OUTCOME]=$B82)*
(YEAR(HCT6_HL[HEARING DATE])=$D$79)*
(ROUNDUP(MONTH(HCT6_HL[HEARING DATE])/3,0)=COLUMN(E80)))</f>
        <v/>
      </c>
      <c r="G82" s="149">
        <f>SUM(C82:F82)</f>
        <v/>
      </c>
    </row>
    <row r="83" ht="18.75" customHeight="1">
      <c r="A83" s="142" t="n"/>
      <c r="B83" s="183" t="inlineStr">
        <is>
          <t>STRUCK OUT</t>
        </is>
      </c>
      <c r="C83" s="149">
        <f t="array" ref="C83">SUMPRODUCT((HCT6_HL[OUTCOME]=$B83)*
(YEAR(HCT6_HL[HEARING DATE])=$D$79)*
(ROUNDUP(MONTH(HCT6_HL[HEARING DATE])/3,0)=COLUMN(B81)))</f>
        <v/>
      </c>
      <c r="D83" s="149">
        <f t="array" ref="D83">SUMPRODUCT((HCT6_HL[OUTCOME]=$B83)*
(YEAR(HCT6_HL[HEARING DATE])=$D$79)*
(ROUNDUP(MONTH(HCT6_HL[HEARING DATE])/3,0)=COLUMN(C81)))</f>
        <v/>
      </c>
      <c r="E83" s="149">
        <f t="array" ref="E83">SUMPRODUCT((HCT6_HL[OUTCOME]=$B83)*
(YEAR(HCT6_HL[HEARING DATE])=$D$79)*
(ROUNDUP(MONTH(HCT6_HL[HEARING DATE])/3,0)=COLUMN(D81)))</f>
        <v/>
      </c>
      <c r="F83" s="149">
        <f t="array" ref="F83">SUMPRODUCT((HCT6_HL[OUTCOME]=$B83)*
(YEAR(HCT6_HL[HEARING DATE])=$D$79)*
(ROUNDUP(MONTH(HCT6_HL[HEARING DATE])/3,0)=COLUMN(E81)))</f>
        <v/>
      </c>
      <c r="G83" s="149">
        <f>SUM(C83:F83)</f>
        <v/>
      </c>
    </row>
    <row r="84" ht="18.75" customHeight="1">
      <c r="A84" s="142" t="n"/>
      <c r="B84" s="183" t="inlineStr">
        <is>
          <t>DISCONTINUED</t>
        </is>
      </c>
      <c r="C84" s="149">
        <f t="array" ref="C84">SUMPRODUCT((HCT6_HL[OUTCOME]=$B84)*
(YEAR(HCT6_HL[HEARING DATE])=$D$79)*
(ROUNDUP(MONTH(HCT6_HL[HEARING DATE])/3,0)=COLUMN(B82)))</f>
        <v/>
      </c>
      <c r="D84" s="149">
        <f t="array" ref="D84">SUMPRODUCT((HCT6_HL[OUTCOME]=$B84)*
(YEAR(HCT6_HL[HEARING DATE])=$D$79)*
(ROUNDUP(MONTH(HCT6_HL[HEARING DATE])/3,0)=COLUMN(C82)))</f>
        <v/>
      </c>
      <c r="E84" s="149">
        <f t="array" ref="E84">SUMPRODUCT((HCT6_HL[OUTCOME]=$B84)*
(YEAR(HCT6_HL[HEARING DATE])=$D$79)*
(ROUNDUP(MONTH(HCT6_HL[HEARING DATE])/3,0)=COLUMN(D82)))</f>
        <v/>
      </c>
      <c r="F84" s="149">
        <f t="array" ref="F84">SUMPRODUCT((HCT6_HL[OUTCOME]=$B84)*
(YEAR(HCT6_HL[HEARING DATE])=$D$79)*
(ROUNDUP(MONTH(HCT6_HL[HEARING DATE])/3,0)=COLUMN(E82)))</f>
        <v/>
      </c>
      <c r="G84" s="149">
        <f>SUM(C84:F84)</f>
        <v/>
      </c>
    </row>
    <row r="85" ht="18.75" customHeight="1">
      <c r="A85" s="269" t="n"/>
      <c r="B85" s="184" t="inlineStr">
        <is>
          <t>WITHDRAWN</t>
        </is>
      </c>
      <c r="C85" s="149">
        <f t="array" ref="C85">SUMPRODUCT((HCT6_HL[OUTCOME]=$B85)*
(YEAR(HCT6_HL[HEARING DATE])=$D$79)*
(ROUNDUP(MONTH(HCT6_HL[HEARING DATE])/3,0)=COLUMN(B83)))</f>
        <v/>
      </c>
      <c r="D85" s="149">
        <f t="array" ref="D85">SUMPRODUCT((HCT6_HL[OUTCOME]=$B85)*
(YEAR(HCT6_HL[HEARING DATE])=$D$79)*
(ROUNDUP(MONTH(HCT6_HL[HEARING DATE])/3,0)=COLUMN(C83)))</f>
        <v/>
      </c>
      <c r="E85" s="149">
        <f t="array" ref="E85">SUMPRODUCT((HCT6_HL[OUTCOME]=$B85)*
(YEAR(HCT6_HL[HEARING DATE])=$D$79)*
(ROUNDUP(MONTH(HCT6_HL[HEARING DATE])/3,0)=COLUMN(D83)))</f>
        <v/>
      </c>
      <c r="F85" s="149">
        <f t="array" ref="F85">SUMPRODUCT((HCT6_HL[OUTCOME]=$B85)*
(YEAR(HCT6_HL[HEARING DATE])=$D$79)*
(ROUNDUP(MONTH(HCT6_HL[HEARING DATE])/3,0)=COLUMN(E83)))</f>
        <v/>
      </c>
      <c r="G85" s="149">
        <f>SUM(C85:F85)</f>
        <v/>
      </c>
    </row>
    <row r="86" ht="20.25" customHeight="1" thickBot="1">
      <c r="A86" s="268" t="n"/>
      <c r="B86" s="137" t="inlineStr">
        <is>
          <t>QUARTERLY TOTALS</t>
        </is>
      </c>
      <c r="C86" s="185">
        <f>SUM(C81:C85)</f>
        <v/>
      </c>
      <c r="D86" s="185">
        <f>SUM(D81:D85)</f>
        <v/>
      </c>
      <c r="E86" s="185">
        <f>SUM(E81:E85)</f>
        <v/>
      </c>
      <c r="F86" s="185">
        <f>SUM(F81:F85)</f>
        <v/>
      </c>
      <c r="G86" s="186" t="n"/>
      <c r="H86" s="187" t="n"/>
    </row>
    <row r="87" ht="19.5" customHeight="1" thickTop="1">
      <c r="A87" s="141" t="n"/>
      <c r="B87" s="188" t="n"/>
      <c r="C87" s="188" t="n"/>
      <c r="D87" s="189" t="n"/>
      <c r="E87" s="189" t="n"/>
      <c r="F87" s="189" t="n"/>
      <c r="G87" s="189" t="n"/>
      <c r="R87" s="189" t="inlineStr">
        <is>
          <t>LIST OF ALL JUDGMENTS DELIVERED</t>
        </is>
      </c>
    </row>
    <row r="88" ht="19.5" customHeight="1" thickBot="1">
      <c r="A88" s="147" t="n"/>
      <c r="B88" s="189" t="inlineStr">
        <is>
          <t>JUDGMENTS DELIVERED PER QUARTER  - FOR YEAR : &gt;&gt;</t>
        </is>
      </c>
      <c r="C88" s="62" t="n">
        <v>2026</v>
      </c>
      <c r="D88" s="274" t="inlineStr">
        <is>
          <t>SELECT QUARTER</t>
        </is>
      </c>
      <c r="E88" s="62" t="inlineStr">
        <is>
          <t>Q1</t>
        </is>
      </c>
      <c r="F88" s="190" t="n"/>
      <c r="G88" s="189" t="n"/>
    </row>
    <row r="89" ht="21" customHeight="1" thickBot="1" thickTop="1">
      <c r="A89" s="140" t="n"/>
      <c r="B89" s="189" t="n"/>
      <c r="C89" s="189" t="n"/>
      <c r="D89" s="189" t="n"/>
      <c r="E89" s="189" t="n"/>
      <c r="F89" s="189" t="n"/>
      <c r="G89" s="189" t="n"/>
      <c r="R89" s="191" t="inlineStr">
        <is>
          <t xml:space="preserve">SUIT NUMBER </t>
        </is>
      </c>
      <c r="S89" s="191" t="inlineStr">
        <is>
          <t>PARTIES</t>
        </is>
      </c>
      <c r="T89" s="191" t="inlineStr">
        <is>
          <t xml:space="preserve">CASE TYPE </t>
        </is>
      </c>
      <c r="U89" s="191" t="inlineStr">
        <is>
          <t>NATURE OF CLAIM/CRIME</t>
        </is>
      </c>
      <c r="V89" s="191" t="inlineStr">
        <is>
          <t>DATE OF JUDGMENT</t>
        </is>
      </c>
    </row>
    <row r="90" ht="21" customHeight="1" thickBot="1" thickTop="1">
      <c r="A90" s="155" t="n"/>
      <c r="B90" s="191" t="inlineStr">
        <is>
          <t xml:space="preserve">SUIT NUMBER </t>
        </is>
      </c>
      <c r="C90" s="191" t="inlineStr">
        <is>
          <t>PARTIES</t>
        </is>
      </c>
      <c r="D90" s="191" t="inlineStr">
        <is>
          <t xml:space="preserve">CASE TYPE </t>
        </is>
      </c>
      <c r="E90" s="191" t="inlineStr">
        <is>
          <t>NATURE OF CLAIM/CRIME</t>
        </is>
      </c>
      <c r="F90" s="191" t="inlineStr">
        <is>
          <t>DATE OF JUDGMENT</t>
        </is>
      </c>
    </row>
    <row r="91" ht="15.75" customHeight="1" thickTop="1">
      <c r="A91" s="139" t="n"/>
      <c r="B91" s="192" t="n"/>
      <c r="R91" s="122">
        <f t="array" ref="R91">IFERROR(_xlfn._xlws.SORT(_xlfn._xlws.FILTER(_xlfn.CHOOSECOLS(HCT6_HL[],2,3,6,7,14),HCT6_HL[OUTCOME]="JUDGMENT DELIVERED"),5,1),"NO DATA PROVIDED")</f>
        <v/>
      </c>
      <c r="V91" s="285" t="n"/>
    </row>
    <row r="92" ht="16.5" customHeight="1">
      <c r="B92" s="193">
        <f t="array" ref="B92">_xlfn._xlws.FILTER(
_xlfn.HSTACK(
HCT6_HL[SUIT NUMBER],
HCT6_HL[PARTIES],
HCT6_HL[CASE TYPE],
HCT6_HL[NATURE OF CLAIM/CRIME],
HCT6_HL[DATE CONCLUDED]
),
(HCT6_HL[OUTCOME]="JUDGMENT DELIVERED")*
(YEAR(HCT6_HL[DATE CONCLUDED])=$C$88)*
(ROUNDUP(MONTH(HCT6_HL[DATE CONCLUDED])/3,0)=VALUE(RIGHT($E$88,1))),
"NO DATA PROVIDED YET"
)</f>
        <v/>
      </c>
      <c r="C92" s="193" t="n"/>
      <c r="D92" s="193" t="n"/>
      <c r="E92" s="193" t="n"/>
      <c r="F92" s="287" t="n"/>
      <c r="V92" s="285" t="n"/>
    </row>
    <row r="93" ht="16.5" customHeight="1">
      <c r="A93" s="139" t="n"/>
      <c r="B93" s="193" t="n"/>
      <c r="C93" s="193" t="n"/>
      <c r="D93" s="193" t="n"/>
      <c r="E93" s="193" t="n"/>
      <c r="F93" s="287" t="n"/>
      <c r="V93" s="285" t="n"/>
    </row>
    <row r="94" ht="16.5" customHeight="1">
      <c r="A94" s="155" t="n"/>
      <c r="B94" s="193" t="n"/>
      <c r="C94" s="193" t="n"/>
      <c r="D94" s="193" t="n"/>
      <c r="E94" s="193" t="n"/>
      <c r="F94" s="287" t="n"/>
    </row>
    <row r="95" ht="16.5" customHeight="1">
      <c r="A95" s="140" t="n"/>
      <c r="B95" s="193" t="n"/>
      <c r="C95" s="193" t="n"/>
      <c r="D95" s="193" t="n"/>
      <c r="E95" s="193" t="n"/>
      <c r="F95" s="287" t="n"/>
      <c r="M95" s="285" t="n"/>
    </row>
    <row r="96">
      <c r="A96" s="147" t="n"/>
      <c r="M96" s="285" t="n"/>
    </row>
    <row r="97" ht="16.5" customHeight="1">
      <c r="A97" s="141" t="n"/>
      <c r="C97" s="195" t="n"/>
      <c r="D97" s="195" t="n"/>
      <c r="E97" s="195" t="n"/>
      <c r="F97" s="288" t="n"/>
      <c r="M97" s="285" t="n"/>
    </row>
    <row r="98">
      <c r="A98" s="268" t="n"/>
      <c r="M98" s="285" t="n"/>
    </row>
    <row r="99">
      <c r="A99" s="269" t="n"/>
      <c r="F99" s="285" t="n"/>
      <c r="M99" s="285" t="n"/>
    </row>
    <row r="100">
      <c r="A100" s="142" t="n"/>
      <c r="F100" s="285" t="n"/>
      <c r="M100" s="285" t="n"/>
    </row>
    <row r="101">
      <c r="F101" s="285" t="n"/>
      <c r="M101" s="285" t="n"/>
    </row>
    <row r="102">
      <c r="A102" s="139" t="n"/>
      <c r="F102" s="285" t="n"/>
      <c r="M102" s="285" t="n"/>
    </row>
    <row r="103">
      <c r="A103" s="155" t="n"/>
      <c r="F103" s="285" t="n"/>
      <c r="M103" s="285" t="n"/>
    </row>
    <row r="104">
      <c r="A104" s="140" t="n"/>
      <c r="F104" s="285" t="n"/>
      <c r="M104" s="285" t="n"/>
    </row>
    <row r="105">
      <c r="A105" s="147" t="n"/>
      <c r="F105" s="285" t="n"/>
      <c r="M105" s="285" t="n"/>
    </row>
    <row r="106">
      <c r="A106" s="141" t="n"/>
      <c r="F106" s="285" t="n"/>
      <c r="M106" s="285" t="n"/>
    </row>
    <row r="107">
      <c r="A107" s="268" t="n"/>
      <c r="F107" s="285" t="n"/>
      <c r="M107" s="285" t="n"/>
    </row>
    <row r="108">
      <c r="A108" s="269" t="n"/>
      <c r="M108" s="285" t="n"/>
    </row>
    <row r="109">
      <c r="A109" s="142" t="n"/>
      <c r="M109" s="285" t="n"/>
    </row>
    <row r="110">
      <c r="A110" s="142" t="n"/>
      <c r="M110" s="285" t="n"/>
    </row>
    <row r="111">
      <c r="A111" s="269" t="n"/>
      <c r="M111" s="285" t="n"/>
    </row>
    <row r="112">
      <c r="A112" s="268" t="n"/>
      <c r="M112" s="285" t="n"/>
    </row>
    <row r="113">
      <c r="A113" s="141" t="n"/>
      <c r="M113" s="285" t="n"/>
    </row>
    <row r="114">
      <c r="A114" s="147" t="n"/>
      <c r="M114" s="285" t="n"/>
    </row>
    <row r="115">
      <c r="A115" s="140" t="n"/>
      <c r="M115" s="285" t="n"/>
    </row>
    <row r="116">
      <c r="A116" s="155" t="n"/>
      <c r="M116" s="285" t="n"/>
    </row>
    <row r="117">
      <c r="A117" s="139" t="n"/>
      <c r="M117" s="285" t="n"/>
    </row>
    <row r="118">
      <c r="A118" s="139" t="n"/>
    </row>
    <row r="119">
      <c r="A119" s="155" t="n"/>
    </row>
    <row r="120">
      <c r="A120" s="140" t="n"/>
    </row>
    <row r="121">
      <c r="A121" s="147" t="n"/>
    </row>
    <row r="122">
      <c r="A122" s="141" t="n"/>
    </row>
    <row r="123">
      <c r="A123" s="268" t="n"/>
    </row>
    <row r="124">
      <c r="A124" s="269" t="n"/>
    </row>
    <row r="125">
      <c r="A125" s="142" t="n"/>
    </row>
    <row r="126">
      <c r="A126" s="142" t="n"/>
    </row>
    <row r="127">
      <c r="A127" s="139" t="n"/>
    </row>
    <row r="128">
      <c r="A128" s="155" t="n"/>
    </row>
    <row r="129">
      <c r="A129" s="140" t="n"/>
    </row>
    <row r="130">
      <c r="A130" s="147" t="n"/>
    </row>
    <row r="131">
      <c r="A131" s="141" t="n"/>
    </row>
    <row r="132">
      <c r="A132" s="268" t="n"/>
    </row>
    <row r="133">
      <c r="A133" s="269" t="n"/>
    </row>
    <row r="134">
      <c r="A134" s="142" t="n"/>
    </row>
    <row r="135">
      <c r="A135" s="142" t="n"/>
    </row>
    <row r="136">
      <c r="A136" s="269" t="n"/>
    </row>
    <row r="137">
      <c r="A137" s="268" t="n"/>
    </row>
    <row r="138">
      <c r="A138" s="141" t="n"/>
    </row>
    <row r="139">
      <c r="A139" s="147" t="n"/>
    </row>
    <row r="140">
      <c r="A140" s="140" t="n"/>
    </row>
    <row r="141">
      <c r="A141" s="155" t="n"/>
    </row>
    <row r="142">
      <c r="A142" s="139" t="n"/>
    </row>
    <row r="144">
      <c r="A144" s="139" t="n"/>
    </row>
    <row r="145">
      <c r="A145" s="155" t="n"/>
    </row>
    <row r="146">
      <c r="A146" s="140" t="n"/>
    </row>
    <row r="147">
      <c r="A147" s="147" t="n"/>
    </row>
    <row r="148">
      <c r="A148" s="141" t="n"/>
    </row>
    <row r="149">
      <c r="A149" s="268" t="n"/>
    </row>
    <row r="150">
      <c r="A150" s="269" t="n"/>
    </row>
    <row r="151">
      <c r="A151" s="142" t="n"/>
    </row>
    <row r="153">
      <c r="A153" s="139" t="n"/>
    </row>
    <row r="154">
      <c r="A154" s="155" t="n"/>
    </row>
    <row r="155">
      <c r="A155" s="140" t="n"/>
    </row>
    <row r="156">
      <c r="A156" s="147" t="n"/>
    </row>
    <row r="157">
      <c r="A157" s="141" t="n"/>
    </row>
    <row r="158">
      <c r="A158" s="268" t="n"/>
    </row>
    <row r="159">
      <c r="A159" s="269" t="n"/>
    </row>
    <row r="160">
      <c r="A160" s="142" t="n"/>
    </row>
    <row r="161">
      <c r="A161" s="142" t="n"/>
    </row>
    <row r="162">
      <c r="A162" s="269" t="n"/>
    </row>
    <row r="163">
      <c r="A163" s="268" t="n"/>
    </row>
    <row r="164">
      <c r="A164" s="141" t="n"/>
    </row>
    <row r="165">
      <c r="A165" s="147" t="n"/>
    </row>
    <row r="166">
      <c r="A166" s="140" t="n"/>
    </row>
    <row r="167">
      <c r="A167" s="155" t="n"/>
    </row>
    <row r="168">
      <c r="A168" s="139" t="n"/>
    </row>
    <row r="169">
      <c r="A169" s="139" t="n"/>
    </row>
    <row r="170">
      <c r="A170" s="155" t="n"/>
    </row>
    <row r="171">
      <c r="A171" s="140" t="n"/>
    </row>
    <row r="172">
      <c r="A172" s="147" t="n"/>
    </row>
    <row r="173">
      <c r="A173" s="141" t="n"/>
    </row>
    <row r="174">
      <c r="A174" s="268" t="n"/>
    </row>
    <row r="175">
      <c r="A175" s="269" t="n"/>
    </row>
    <row r="176">
      <c r="A176" s="142" t="n"/>
    </row>
    <row r="177">
      <c r="A177" s="142" t="n"/>
    </row>
    <row r="178">
      <c r="A178" s="139" t="n"/>
    </row>
    <row r="179">
      <c r="A179" s="155" t="n"/>
    </row>
    <row r="180">
      <c r="A180" s="140" t="n"/>
    </row>
    <row r="181">
      <c r="A181" s="147" t="n"/>
    </row>
    <row r="182">
      <c r="A182" s="141" t="n"/>
    </row>
    <row r="183">
      <c r="A183" s="268" t="n"/>
    </row>
    <row r="184">
      <c r="A184" s="269" t="n"/>
    </row>
    <row r="185">
      <c r="A185" s="142" t="n"/>
    </row>
    <row r="186">
      <c r="A186" s="142" t="n"/>
    </row>
    <row r="187">
      <c r="A187" s="269" t="n"/>
    </row>
    <row r="188">
      <c r="A188" s="268" t="n"/>
    </row>
    <row r="189">
      <c r="A189" s="141" t="n"/>
    </row>
    <row r="190">
      <c r="A190" s="147" t="n"/>
    </row>
    <row r="191">
      <c r="A191" s="140" t="n"/>
    </row>
    <row r="192">
      <c r="A192" s="155" t="n"/>
    </row>
    <row r="193">
      <c r="A193" s="139" t="n"/>
    </row>
    <row r="195">
      <c r="A195" s="139" t="n"/>
    </row>
    <row r="196">
      <c r="A196" s="155" t="n"/>
    </row>
    <row r="197">
      <c r="A197" s="140" t="n"/>
    </row>
    <row r="198">
      <c r="A198" s="147" t="n"/>
    </row>
    <row r="199">
      <c r="A199" s="141" t="n"/>
    </row>
    <row r="200">
      <c r="A200" s="268" t="n"/>
    </row>
    <row r="201">
      <c r="A201" s="269" t="n"/>
    </row>
    <row r="202">
      <c r="A202" s="142" t="n"/>
    </row>
    <row r="204">
      <c r="A204" s="139" t="n"/>
    </row>
    <row r="205">
      <c r="A205" s="155" t="n"/>
    </row>
    <row r="206">
      <c r="A206" s="140" t="n"/>
    </row>
    <row r="207">
      <c r="A207" s="147" t="n"/>
    </row>
    <row r="208">
      <c r="A208" s="141" t="n"/>
    </row>
    <row r="209">
      <c r="A209" s="268" t="n"/>
    </row>
    <row r="210">
      <c r="A210" s="269" t="n"/>
    </row>
    <row r="211">
      <c r="A211" s="142" t="n"/>
    </row>
    <row r="212">
      <c r="A212" s="142" t="n"/>
    </row>
    <row r="213">
      <c r="A213" s="269" t="n"/>
    </row>
    <row r="214">
      <c r="A214" s="268" t="n"/>
    </row>
    <row r="215">
      <c r="A215" s="141" t="n"/>
    </row>
    <row r="216">
      <c r="A216" s="147" t="n"/>
    </row>
    <row r="217">
      <c r="A217" s="140" t="n"/>
    </row>
    <row r="218">
      <c r="A218" s="155" t="n"/>
    </row>
    <row r="219">
      <c r="A219" s="139" t="n"/>
    </row>
  </sheetData>
  <mergeCells count="3">
    <mergeCell ref="B52:C52"/>
    <mergeCell ref="B16:C16"/>
    <mergeCell ref="B34:D34"/>
  </mergeCells>
  <conditionalFormatting sqref="C23:F29">
    <cfRule type="expression" priority="22" dxfId="3">
      <formula>COLUMN(C22)-COLUMN($C22)+1 = VALUE(RIGHT($F$21,1))</formula>
    </cfRule>
  </conditionalFormatting>
  <conditionalFormatting sqref="C41:F47">
    <cfRule type="expression" priority="10" dxfId="2">
      <formula>COLUMN(C41)-COLUMN($C41)+1=VALUE(RIGHT($F$39,1))</formula>
    </cfRule>
  </conditionalFormatting>
  <conditionalFormatting sqref="C59:F66">
    <cfRule type="expression" priority="9" dxfId="1">
      <formula>COLUMN(C59)-COLUMN($C59)+1=VALUE(RIGHT($F$57,1))</formula>
    </cfRule>
  </conditionalFormatting>
  <conditionalFormatting sqref="C81:G85">
    <cfRule type="expression" priority="8" dxfId="0">
      <formula>COLUMN(C81)-COLUMN($C81)+1=VALUE(RIGHT($F$79,1))</formula>
    </cfRule>
  </conditionalFormatting>
  <dataValidations count="5">
    <dataValidation sqref="M45" showDropDown="0" showInputMessage="1" showErrorMessage="1" allowBlank="1" type="list">
      <formula1>INSIGHTS</formula1>
    </dataValidation>
    <dataValidation sqref="F21 F39 F57" showDropDown="0" showInputMessage="1" showErrorMessage="1" allowBlank="1" type="list">
      <formula1>QUARTER</formula1>
    </dataValidation>
    <dataValidation sqref="E88" showDropDown="0" showInputMessage="1" showErrorMessage="1" allowBlank="1" prompt="SELECT THE QUARTER HERE" type="list">
      <formula1>QUARTER</formula1>
    </dataValidation>
    <dataValidation sqref="K26" showDropDown="0" showInputMessage="1" showErrorMessage="1" allowBlank="1" prompt="SELECT A RANGE" type="list">
      <formula1>CURRENT_CASE_AGE</formula1>
    </dataValidation>
    <dataValidation sqref="F79" showDropDown="0" showInputMessage="1" showErrorMessage="1" allowBlank="1" prompt="SELECT A QUARTER" type="list">
      <formula1>QUARTER</formula1>
    </dataValidation>
  </dataValidations>
  <hyperlinks>
    <hyperlink ref="B1" location="'HOME PAGE'!A1" display="HOME"/>
    <hyperlink ref="C1" location="'CASE REGISTER'!A1" display="CASE REGISTER"/>
    <hyperlink ref="D1" location="'HEARING LOG'!A1" display="HEARING LOG"/>
    <hyperlink ref="E1" location="'AUTO CAUSE LIST'!A1" display="AUTO CAUSE LIST"/>
    <hyperlink ref="F1" location="'COUNSEL DIRECTORY'!A1" tooltip="COUNSEL DIRECTORY" display="'COUNSEL DIRECTORY'!A1"/>
    <hyperlink ref="G1" location="'QUARTER REPORT'!A1" tooltip="QUARTERLY REPORT" display="'QUARTER REPORT'!A1"/>
  </hyperlinks>
  <pageMargins left="0.7086614173228347" right="0.7086614173228347" top="0.7480314960629921" bottom="0.7480314960629921" header="0.3149606299212598" footer="0.3149606299212598"/>
  <pageSetup orientation="landscape" scale="1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R54"/>
  <sheetViews>
    <sheetView topLeftCell="F10" workbookViewId="0">
      <selection activeCell="O13" sqref="O13"/>
    </sheetView>
  </sheetViews>
  <sheetFormatPr baseColWidth="8" defaultRowHeight="15"/>
  <cols>
    <col width="31.4765625" bestFit="1" customWidth="1" min="3" max="3"/>
    <col width="11.1640625" customWidth="1" min="4" max="4"/>
    <col width="15.46875" customWidth="1" min="6" max="6"/>
    <col width="11.1640625" customWidth="1" min="7" max="7"/>
    <col width="23.67578125" bestFit="1" customWidth="1" min="8" max="8"/>
    <col width="11.1640625" customWidth="1" min="9" max="10"/>
    <col width="44.79296875" bestFit="1" customWidth="1" min="11" max="11"/>
    <col width="11.1640625" customWidth="1" min="12" max="13"/>
  </cols>
  <sheetData>
    <row r="4" ht="20.25" customHeight="1" thickBot="1">
      <c r="C4" s="14" t="inlineStr">
        <is>
          <t xml:space="preserve">STATISTICS </t>
        </is>
      </c>
      <c r="O4" t="inlineStr">
        <is>
          <t>QUARTERLY INDICATORS</t>
        </is>
      </c>
    </row>
    <row r="5" ht="16.5" customHeight="1" thickBot="1" thickTop="1">
      <c r="C5" s="31" t="inlineStr">
        <is>
          <t>ON REGISTER</t>
        </is>
      </c>
      <c r="F5" t="inlineStr">
        <is>
          <t>HEARING LOG</t>
        </is>
      </c>
      <c r="H5" s="35" t="n"/>
      <c r="I5" s="37" t="n"/>
      <c r="K5" t="inlineStr">
        <is>
          <t>(HCT6_HL[OUTCOME]="JUDGMENT DELIVERED")*</t>
        </is>
      </c>
      <c r="O5" s="276" t="inlineStr">
        <is>
          <t>JUDGMENTS PER QUARTER</t>
        </is>
      </c>
      <c r="P5" s="35" t="n"/>
      <c r="Q5" s="35" t="n"/>
      <c r="R5" s="35" t="n"/>
    </row>
    <row r="6">
      <c r="A6" t="n">
        <v>1</v>
      </c>
      <c r="C6" s="30" t="inlineStr">
        <is>
          <t>STATUS</t>
        </is>
      </c>
      <c r="D6" t="inlineStr">
        <is>
          <t>NUMBER</t>
        </is>
      </c>
      <c r="F6" s="41" t="inlineStr">
        <is>
          <t>PURPOSE</t>
        </is>
      </c>
      <c r="G6" s="42" t="inlineStr">
        <is>
          <t>NUMBER</t>
        </is>
      </c>
      <c r="H6" s="32" t="inlineStr">
        <is>
          <t>NEXT ACTION</t>
        </is>
      </c>
      <c r="I6" t="inlineStr">
        <is>
          <t>NUMBER</t>
        </is>
      </c>
      <c r="K6" t="inlineStr">
        <is>
          <t>(YEAR(HCT6_HL[DATE CONCLUDED])=$B$74)*</t>
        </is>
      </c>
      <c r="O6" s="47" t="inlineStr">
        <is>
          <t>Q1</t>
        </is>
      </c>
      <c r="P6" s="47" t="inlineStr">
        <is>
          <t>Q2</t>
        </is>
      </c>
      <c r="Q6" s="47" t="inlineStr">
        <is>
          <t>Q3</t>
        </is>
      </c>
      <c r="R6" s="47" t="inlineStr">
        <is>
          <t>Q4</t>
        </is>
      </c>
    </row>
    <row r="7">
      <c r="C7" t="inlineStr">
        <is>
          <t>ACTIVE CASES</t>
        </is>
      </c>
      <c r="D7">
        <f>COUNTIF(HCT6_CR[STATUS],"ACTIVE")</f>
        <v/>
      </c>
      <c r="F7" s="17" t="inlineStr">
        <is>
          <t>MENTION</t>
        </is>
      </c>
      <c r="G7" s="17">
        <f>COUNTIF(HCT6_HL[PURPOSE],"MENTION")</f>
        <v/>
      </c>
      <c r="H7" t="inlineStr">
        <is>
          <t>MENTION</t>
        </is>
      </c>
      <c r="I7">
        <f>COUNTIF(HCT6_HL[NEXT ACTION],"MENTION")</f>
        <v/>
      </c>
      <c r="K7" t="inlineStr">
        <is>
          <t>(ROUNDUP(MONTH(HCT6_HL[DATE CONCLUDED])/3,0)=VALUE(RIGHT($D$74,1))),</t>
        </is>
      </c>
      <c r="O7" s="46">
        <f>COUNTIFS(HCT6_HL[DATE CONCLUDED],"&gt;="&amp;DATE(YEAR(TODAY()),1,1),HCT6_HL[DATE CONCLUDED],"&lt;"&amp;DATE(YEAR(TODAY()),4,1))</f>
        <v/>
      </c>
      <c r="P7" s="46">
        <f>COUNTIFS(HCT6_HL[DATE CONCLUDED],"&gt;="&amp;DATE(YEAR(TODAY()),4,1),HCT6_HL[DATE CONCLUDED],"&lt;"&amp;DATE(YEAR(TODAY()),7,1))</f>
        <v/>
      </c>
      <c r="Q7" s="46">
        <f>COUNTIFS(HCT6_HL[DATE CONCLUDED],"&gt;="&amp;DATE(YEAR(TODAY()),7,1),HCT6_HL[DATE CONCLUDED],"&lt;"&amp;DATE(YEAR(TODAY()),10,1))</f>
        <v/>
      </c>
      <c r="R7" s="46">
        <f>COUNTIFS(HCT6_HL[DATE CONCLUDED],"&gt;="&amp;DATE(YEAR(TODAY()),10,1),HCT6_HL[DATE CONCLUDED],"&lt;"&amp;DATE(YEAR(TODAY())+1,1,1))</f>
        <v/>
      </c>
    </row>
    <row r="8">
      <c r="C8" t="inlineStr">
        <is>
          <t>CONCLUDED CASES</t>
        </is>
      </c>
      <c r="D8">
        <f>COUNTIF(HCT6_CR[STATUS],"CONCLUDED")</f>
        <v/>
      </c>
      <c r="F8" s="19" t="inlineStr">
        <is>
          <t>PTC</t>
        </is>
      </c>
      <c r="G8" s="19">
        <f>COUNTIF(HCT6_HL[PURPOSE],"PTC")</f>
        <v/>
      </c>
      <c r="H8" t="inlineStr">
        <is>
          <t>HEARING</t>
        </is>
      </c>
      <c r="I8">
        <f>COUNTIF(HCT6_HL[NEXT ACTION],"HEARING")</f>
        <v/>
      </c>
      <c r="K8" t="inlineStr">
        <is>
          <t>NO DATA PROVIDED YET</t>
        </is>
      </c>
      <c r="O8" s="34" t="n"/>
    </row>
    <row r="9">
      <c r="C9" s="43" t="inlineStr">
        <is>
          <t>CIVIL CASES</t>
        </is>
      </c>
      <c r="D9" s="20">
        <f>COUNTIF(HCT6_CR[CASE TYPE],"CIVIL_SUIT")</f>
        <v/>
      </c>
      <c r="F9" s="17" t="inlineStr">
        <is>
          <t>HEARING</t>
        </is>
      </c>
      <c r="G9" s="17">
        <f>COUNTIF(HCT6_HL[PURPOSE],"HEARING")</f>
        <v/>
      </c>
      <c r="H9" t="inlineStr">
        <is>
          <t>MOTION</t>
        </is>
      </c>
      <c r="I9">
        <f>COUNTIF(HCT6_HL[NEXT ACTION],"MOTION")</f>
        <v/>
      </c>
      <c r="K9" t="inlineStr">
        <is>
          <t>)</t>
        </is>
      </c>
      <c r="O9" s="34" t="n"/>
    </row>
    <row r="10">
      <c r="C10" s="44" t="inlineStr">
        <is>
          <t>FUNDAMENTAL RIGHT CASES</t>
        </is>
      </c>
      <c r="D10" s="18">
        <f>COUNTIF(HCT6_CR[CASE TYPE],"FHR")</f>
        <v/>
      </c>
      <c r="F10" s="19" t="inlineStr">
        <is>
          <t>DEFENCE</t>
        </is>
      </c>
      <c r="G10" s="19">
        <f>COUNTIF(HCT6_HL[PURPOSE],"DEFENCE")</f>
        <v/>
      </c>
      <c r="H10" t="inlineStr">
        <is>
          <t>DEFENCE</t>
        </is>
      </c>
      <c r="I10">
        <f>COUNTIF(HCT6_HL[NEXT ACTION],"DEFENCE")</f>
        <v/>
      </c>
      <c r="O10" s="34" t="n"/>
    </row>
    <row r="11">
      <c r="C11" s="43" t="inlineStr">
        <is>
          <t>MOTIONS</t>
        </is>
      </c>
      <c r="D11" s="20">
        <f>COUNTIF(HCT6_CR[CASE TYPE],"MOTION")</f>
        <v/>
      </c>
      <c r="F11" s="17" t="inlineStr">
        <is>
          <t>ADDRESS</t>
        </is>
      </c>
      <c r="G11" s="17">
        <f>COUNTIF(HCT6_HL[PURPOSE],"ADDRESS")</f>
        <v/>
      </c>
      <c r="H11" t="inlineStr">
        <is>
          <t>ADDRESS</t>
        </is>
      </c>
      <c r="I11">
        <f>COUNTIF(HCT6_HL[NEXT ACTION],"ADDRESS")</f>
        <v/>
      </c>
      <c r="O11" s="278" t="inlineStr">
        <is>
          <t>CASES ASSIGNED PER QUARTER</t>
        </is>
      </c>
    </row>
    <row r="12">
      <c r="C12" s="44" t="inlineStr">
        <is>
          <t>MATRIMONIAL CASES</t>
        </is>
      </c>
      <c r="D12" s="18">
        <f>COUNTIF(HCT6_CR[CASE TYPE],"MATRIMONIAL")</f>
        <v/>
      </c>
      <c r="F12" s="19" t="inlineStr">
        <is>
          <t>JUDGMENT</t>
        </is>
      </c>
      <c r="G12" s="19">
        <f>COUNTIF(HCT6_HL[PURPOSE],"JUDGMENT")</f>
        <v/>
      </c>
      <c r="H12" t="inlineStr">
        <is>
          <t>JUDGMENT</t>
        </is>
      </c>
      <c r="I12">
        <f>COUNTIF(HCT6_HL[NEXT ACTION],"JUDGMENT")</f>
        <v/>
      </c>
      <c r="O12" s="48" t="inlineStr">
        <is>
          <t>Q1</t>
        </is>
      </c>
      <c r="P12" s="48" t="inlineStr">
        <is>
          <t>Q2</t>
        </is>
      </c>
      <c r="Q12" s="48" t="inlineStr">
        <is>
          <t>Q3</t>
        </is>
      </c>
      <c r="R12" s="48" t="inlineStr">
        <is>
          <t>Q4</t>
        </is>
      </c>
    </row>
    <row r="13" ht="15.75" customHeight="1" thickBot="1">
      <c r="C13" s="43" t="inlineStr">
        <is>
          <t>CRIMINAL CASES</t>
        </is>
      </c>
      <c r="D13" s="20">
        <f>COUNTIF(HCT6_CR[CASE TYPE],"CRIMINAL_MATTER")</f>
        <v/>
      </c>
      <c r="F13" s="17" t="inlineStr">
        <is>
          <t>RULING</t>
        </is>
      </c>
      <c r="G13" s="17">
        <f>COUNTIF(HCT6_HL[PURPOSE],"RULING")</f>
        <v/>
      </c>
      <c r="H13" t="inlineStr">
        <is>
          <t>PLEA</t>
        </is>
      </c>
      <c r="I13">
        <f>COUNTIF(HCT6_HL[NEXT ACTION],"PLEA")</f>
        <v/>
      </c>
      <c r="O13" s="33">
        <f>COUNTIFS(HCT6_CR[DATE ASSIGNED],"&gt;="&amp;DATE(YEAR(TODAY()),1,1),HCT6_CR[DATE ASSIGNED],"&lt;"&amp;DATE(YEAR(TODAY()),4,1))</f>
        <v/>
      </c>
      <c r="P13" s="33">
        <f>COUNTIFS(HCT6_CR[DATE ASSIGNED],"&gt;="&amp;DATE(YEAR(TODAY()),4,1),HCT6_CR[DATE ASSIGNED],"&lt;"&amp;DATE(YEAR(TODAY()),7,1))</f>
        <v/>
      </c>
      <c r="Q13" s="33">
        <f>COUNTIFS(HCT6_CR[DATE ASSIGNED],"&gt;="&amp;DATE(YEAR(TODAY()),7,1),HCT6_CR[DATE ASSIGNED],"&lt;"&amp;DATE(YEAR(TODAY()),10,1))</f>
        <v/>
      </c>
      <c r="R13" s="33">
        <f>COUNTIFS(HCT6_CR[DATE ASSIGNED],"&gt;="&amp;DATE(YEAR(TODAY()),10,1),HCT6_CR[DATE ASSIGNED],"&lt;"&amp;DATE(YEAR(TODAY())+1,1,1))</f>
        <v/>
      </c>
    </row>
    <row r="14" ht="15.75" customHeight="1" thickBot="1">
      <c r="C14" s="44" t="inlineStr">
        <is>
          <t>APPEALS</t>
        </is>
      </c>
      <c r="D14" s="18">
        <f>COUNTIF(HCT6_CR[CASE TYPE],"APPEAL")</f>
        <v/>
      </c>
      <c r="F14" s="34" t="n"/>
      <c r="H14" t="inlineStr">
        <is>
          <t>APPEAL</t>
        </is>
      </c>
      <c r="I14">
        <f>COUNTIF(HCT6_HL[NEXT ACTION],"APPEAL")</f>
        <v/>
      </c>
      <c r="L14" s="93" t="n">
        <v>2026</v>
      </c>
      <c r="M14" t="inlineStr">
        <is>
          <t>Q4</t>
        </is>
      </c>
      <c r="O14" s="34" t="n"/>
    </row>
    <row r="15">
      <c r="C15" t="inlineStr">
        <is>
          <t>BAIL</t>
        </is>
      </c>
      <c r="D15">
        <f>COUNTIF(HCT6_CR[STATUS],"BAIL")</f>
        <v/>
      </c>
      <c r="F15" s="34" t="n"/>
      <c r="H15" t="inlineStr">
        <is>
          <t>PTC</t>
        </is>
      </c>
      <c r="I15">
        <f>COUNTIF(HCT6_HL[NEXT ACTION],"PTC")</f>
        <v/>
      </c>
      <c r="O15" s="34" t="n"/>
    </row>
    <row r="16">
      <c r="F16" s="34" t="n"/>
      <c r="H16" t="inlineStr">
        <is>
          <t>REPORT_OF_SETTLEMENT</t>
        </is>
      </c>
      <c r="I16">
        <f>COUNTIF(HCT6_HL[NEXT ACTION],"REPORT_OF_SETTLEMENT")</f>
        <v/>
      </c>
      <c r="O16" s="34" t="inlineStr">
        <is>
          <t>RULINGS DELIVERED PER QUARTER</t>
        </is>
      </c>
    </row>
    <row r="17">
      <c r="F17" s="34" t="n"/>
      <c r="H17" t="inlineStr">
        <is>
          <t>XX OF WITNESS</t>
        </is>
      </c>
      <c r="I17">
        <f>COUNTIF(HCT6_HL[NEXT ACTION],"XX OF WITNESS")</f>
        <v/>
      </c>
      <c r="O17" s="48" t="inlineStr">
        <is>
          <t>Q1</t>
        </is>
      </c>
      <c r="P17" s="48" t="inlineStr">
        <is>
          <t>Q2</t>
        </is>
      </c>
      <c r="Q17" s="48" t="inlineStr">
        <is>
          <t>Q3</t>
        </is>
      </c>
      <c r="R17" s="48" t="inlineStr">
        <is>
          <t>Q4</t>
        </is>
      </c>
    </row>
    <row r="18">
      <c r="F18" s="34" t="n"/>
      <c r="H18" t="inlineStr">
        <is>
          <t>CONSENT JUDGMENT</t>
        </is>
      </c>
      <c r="I18">
        <f>COUNTIF(HCT6_HL[NEXT ACTION],"CONSENT JUDGMENT")</f>
        <v/>
      </c>
      <c r="O18" s="33">
        <f>COUNTIFS(HCT6_HL[RULING],"&gt;="&amp;DATE(YEAR(TODAY()),1,1),HCT6_HL[RULING],"&lt;"&amp;DATE(YEAR(TODAY()),4,1))</f>
        <v/>
      </c>
      <c r="P18" s="33">
        <f>COUNTIFS(HCT6_HL[RULING],"&gt;="&amp;DATE(YEAR(TODAY()),4,1),HCT6_HL[RULING],"&lt;"&amp;DATE(YEAR(TODAY()),7,1))</f>
        <v/>
      </c>
      <c r="Q18" s="33">
        <f>COUNTIFS(HCT6_HL[RULING],"&gt;="&amp;DATE(YEAR(TODAY()),7,1),HCT6_HL[RULING],"&lt;"&amp;DATE(YEAR(TODAY()),10,1))</f>
        <v/>
      </c>
      <c r="R18" s="33">
        <f>COUNTIFS(HCT6_HL[RULING],"&gt;="&amp;DATE(YEAR(TODAY()),10,1),HCT6_HL[RULING],"&lt;"&amp;DATE(YEAR(TODAY())+1,1,1))</f>
        <v/>
      </c>
    </row>
    <row r="19">
      <c r="F19" s="34" t="n"/>
      <c r="H19" t="inlineStr">
        <is>
          <t>RULING</t>
        </is>
      </c>
      <c r="I19">
        <f>COUNTIF(HCT6_HL[NEXT ACTION],"RULING")</f>
        <v/>
      </c>
      <c r="O19" s="34" t="n"/>
    </row>
    <row r="20">
      <c r="F20" s="34" t="n"/>
      <c r="H20" t="inlineStr">
        <is>
          <t>BAIL APPLICATION</t>
        </is>
      </c>
      <c r="I20">
        <f>COUNTIF(HCT6_HL[NEXT ACTION],"APPLICATION FOR BAIL")</f>
        <v/>
      </c>
      <c r="O20" s="34" t="inlineStr">
        <is>
          <t xml:space="preserve">CASES </t>
        </is>
      </c>
    </row>
    <row r="21">
      <c r="F21" s="34" t="n"/>
      <c r="H21" t="inlineStr">
        <is>
          <t>TRIAL</t>
        </is>
      </c>
      <c r="I21">
        <f>COUNTIF(HCT6_HL[NEXT ACTION],"TRIAL")</f>
        <v/>
      </c>
      <c r="O21" s="34" t="n"/>
    </row>
    <row r="22">
      <c r="F22" s="38" t="n"/>
      <c r="G22" s="36" t="n"/>
      <c r="H22" t="inlineStr">
        <is>
          <t>ARRAIGNMENT</t>
        </is>
      </c>
      <c r="I22">
        <f>COUNTIF(HCT6_HL[NEXT ACTION],"ARRAIGNMENT")</f>
        <v/>
      </c>
    </row>
    <row r="24">
      <c r="C24" t="inlineStr">
        <is>
          <t>QUARTERLY INFORMATION</t>
        </is>
      </c>
      <c r="O24" s="47" t="inlineStr">
        <is>
          <t>Q1</t>
        </is>
      </c>
      <c r="P24" s="47" t="inlineStr">
        <is>
          <t>Q2</t>
        </is>
      </c>
      <c r="Q24" s="47" t="inlineStr">
        <is>
          <t>Q3</t>
        </is>
      </c>
      <c r="R24" s="47" t="inlineStr">
        <is>
          <t>Q4</t>
        </is>
      </c>
    </row>
    <row r="25">
      <c r="O25" s="46">
        <f t="array" ref="O25">COUNTIFS(HCT6_HL[OUTCOME],"JUDGMENT DELIVERED")*(YEAR(HCT6_HL[DATE CONCLUDED]=$L$14)*(ROUNDUP(MONTH(HCT6_HL[DATE CONCLUDED])/3,0)=VALUE(RIGHT($M$14,1))))</f>
        <v/>
      </c>
      <c r="P25" s="46">
        <f t="array" ref="P25">COUNTIFS(HCT6_HL[OUTCOME],"JUDGMENT DELIVERED")*(YEAR(HCT6_HL[DATE CONCLUDED]=$L$14)*(ROUNDUP(MONTH(HCT6_HL[DATE CONCLUDED])/3,0)=VALUE(RIGHT($M$14,1))))</f>
        <v/>
      </c>
      <c r="Q25" s="46">
        <f t="array" ref="Q25">COUNTIFS(HCT6_HL[OUTCOME],"JUDGMENT DELIVERED")*(YEAR(HCT6_HL[DATE CONCLUDED]=$L$14)*(ROUNDUP(MONTH(HCT6_HL[DATE CONCLUDED])/3,0)=VALUE(RIGHT($M$14,1))))</f>
        <v/>
      </c>
      <c r="R25" s="46">
        <f t="array" ref="R25">COUNTIFS(HCT6_HL[OUTCOME],"JUDGMENT DELIVERED")*(YEAR(HCT6_HL[DATE CONCLUDED]=$L$14)*(ROUNDUP(MONTH(HCT6_HL[DATE CONCLUDED])/3,0)=VALUE(RIGHT($M$14,1))))</f>
        <v/>
      </c>
    </row>
    <row r="26">
      <c r="C26" t="inlineStr">
        <is>
          <t>CASE TYPE</t>
        </is>
      </c>
    </row>
    <row r="27">
      <c r="C27" t="inlineStr">
        <is>
          <t>WRIT</t>
        </is>
      </c>
      <c r="D27" s="50" t="inlineStr">
        <is>
          <t>=COUNTIFS(HCT6_CR[CASE TYPE],$C27,"&gt;="&amp;DATE(YEAR(TODAY()),4,1),HCT6_CR[DATE FILED],"&lt;"&amp;DATE(YEAR(TODAY()),4,1))</t>
        </is>
      </c>
      <c r="E27" s="50">
        <f>COUNTIFS(HCT6_CR[DATE FILED],"&gt;="&amp;DATE(YEAR(TODAY()),4,1),HCT6_CR[DATE FILED],"&lt;"&amp;DATE(YEAR(TODAY()),7,1))</f>
        <v/>
      </c>
      <c r="F27" s="50">
        <f>COUNTIFS(HCT6_CR[DATE FILED],"&gt;="&amp;DATE(YEAR(TODAY()),7,1),HCT6_CR[DATE FILED],"&lt;"&amp;DATE(YEAR(TODAY()),10,1))</f>
        <v/>
      </c>
      <c r="G27" s="51">
        <f>COUNTIFS(HCT6_CR[DATE CONCLUDED],"&gt;="&amp;DATE(YEAR(TODAY()),10,1),HCT6_CR[DATE FILED],"&lt;"&amp;DATE(YEAR(TODAY())+1,1,1))</f>
        <v/>
      </c>
    </row>
    <row r="28">
      <c r="C28" t="inlineStr">
        <is>
          <t>ORIGINATING SUMMONS</t>
        </is>
      </c>
      <c r="D28" s="49">
        <f>COUNTIFS(HCT6_CR[DATE FILED],"&gt;="&amp;DATE(YEAR(TODAY()),1,1),HCT6_CR[DATE FILED],"&lt;"&amp;DATE(YEAR(TODAY()),4,1))</f>
        <v/>
      </c>
      <c r="E28" s="50">
        <f>COUNTIFS(HCT6_CR[DATE FILED],"&gt;="&amp;DATE(YEAR(TODAY()),4,1),HCT6_CR[DATE FILED],"&lt;"&amp;DATE(YEAR(TODAY()),7,1))</f>
        <v/>
      </c>
      <c r="F28" s="50">
        <f>COUNTIFS(HCT6_CR[DATE FILED],"&gt;="&amp;DATE(YEAR(TODAY()),7,1),HCT6_CR[DATE FILED],"&lt;"&amp;DATE(YEAR(TODAY()),10,1))</f>
        <v/>
      </c>
      <c r="G28" s="51">
        <f>COUNTIFS(HCT6_CR[DATE CONCLUDED],"&gt;="&amp;DATE(YEAR(TODAY()),10,1),HCT6_CR[DATE FILED],"&lt;"&amp;DATE(YEAR(TODAY())+1,1,1))</f>
        <v/>
      </c>
    </row>
    <row r="29">
      <c r="C29" t="inlineStr">
        <is>
          <t>CRIMINAL MATTERS</t>
        </is>
      </c>
      <c r="D29" s="49">
        <f>COUNTIFS(HCT6_CR[DATE FILED],"&gt;="&amp;DATE(YEAR(TODAY()),1,1),HCT6_CR[DATE FILED],"&lt;"&amp;DATE(YEAR(TODAY()),4,1))</f>
        <v/>
      </c>
      <c r="E29" s="50">
        <f>COUNTIFS(HCT6_CR[DATE FILED],"&gt;="&amp;DATE(YEAR(TODAY()),4,1),HCT6_CR[DATE FILED],"&lt;"&amp;DATE(YEAR(TODAY()),7,1))</f>
        <v/>
      </c>
      <c r="F29" s="50">
        <f>COUNTIFS(HCT6_CR[DATE FILED],"&gt;="&amp;DATE(YEAR(TODAY()),7,1),HCT6_CR[DATE FILED],"&lt;"&amp;DATE(YEAR(TODAY()),10,1))</f>
        <v/>
      </c>
      <c r="G29" s="51">
        <f>COUNTIFS(HCT6_CR[DATE CONCLUDED],"&gt;="&amp;DATE(YEAR(TODAY()),10,1),HCT6_CR[DATE FILED],"&lt;"&amp;DATE(YEAR(TODAY())+1,1,1))</f>
        <v/>
      </c>
    </row>
    <row r="30">
      <c r="C30" t="inlineStr">
        <is>
          <t>MOTIONS</t>
        </is>
      </c>
      <c r="D30" s="49">
        <f>COUNTIFS(HCT6_CR[DATE FILED],"&gt;="&amp;DATE(YEAR(TODAY()),1,1),HCT6_CR[DATE FILED],"&lt;"&amp;DATE(YEAR(TODAY()),4,1))</f>
        <v/>
      </c>
      <c r="E30" s="50">
        <f>COUNTIFS(HCT6_CR[DATE FILED],"&gt;="&amp;DATE(YEAR(TODAY()),4,1),HCT6_CR[DATE FILED],"&lt;"&amp;DATE(YEAR(TODAY()),7,1))</f>
        <v/>
      </c>
      <c r="F30" s="50">
        <f>COUNTIFS(HCT6_CR[DATE FILED],"&gt;="&amp;DATE(YEAR(TODAY()),7,1),HCT6_CR[DATE FILED],"&lt;"&amp;DATE(YEAR(TODAY()),10,1))</f>
        <v/>
      </c>
      <c r="G30" s="51">
        <f>COUNTIFS(HCT6_CR[DATE CONCLUDED],"&gt;="&amp;DATE(YEAR(TODAY()),10,1),HCT6_CR[DATE FILED],"&lt;"&amp;DATE(YEAR(TODAY())+1,1,1))</f>
        <v/>
      </c>
    </row>
    <row r="31">
      <c r="C31" t="inlineStr">
        <is>
          <t>PETITIONS</t>
        </is>
      </c>
      <c r="D31" s="49">
        <f>COUNTIFS(HCT6_CR[DATE FILED],"&gt;="&amp;DATE(YEAR(TODAY()),1,1),HCT6_CR[DATE FILED],"&lt;"&amp;DATE(YEAR(TODAY()),4,1))</f>
        <v/>
      </c>
      <c r="E31" s="50">
        <f>COUNTIFS(HCT6_CR[DATE FILED],"&gt;="&amp;DATE(YEAR(TODAY()),4,1),HCT6_CR[DATE FILED],"&lt;"&amp;DATE(YEAR(TODAY()),7,1))</f>
        <v/>
      </c>
      <c r="F31" s="50">
        <f>COUNTIFS(HCT6_CR[DATE FILED],"&gt;="&amp;DATE(YEAR(TODAY()),7,1),HCT6_CR[DATE FILED],"&lt;"&amp;DATE(YEAR(TODAY()),10,1))</f>
        <v/>
      </c>
      <c r="G31" s="51">
        <f>COUNTIFS(HCT6_CR[DATE CONCLUDED],"&gt;="&amp;DATE(YEAR(TODAY()),10,1),HCT6_CR[DATE FILED],"&lt;"&amp;DATE(YEAR(TODAY())+1,1,1))</f>
        <v/>
      </c>
    </row>
    <row r="44">
      <c r="C44" t="inlineStr">
        <is>
          <t>JUDGMENT</t>
        </is>
      </c>
    </row>
    <row r="45">
      <c r="C45" t="inlineStr">
        <is>
          <t>PLEA</t>
        </is>
      </c>
    </row>
    <row r="46">
      <c r="C46" t="inlineStr">
        <is>
          <t>APPEAL</t>
        </is>
      </c>
    </row>
    <row r="47">
      <c r="C47" t="inlineStr">
        <is>
          <t>PTC</t>
        </is>
      </c>
    </row>
    <row r="48">
      <c r="C48" t="inlineStr">
        <is>
          <t>REPORT_OF_SETTLEMENT</t>
        </is>
      </c>
    </row>
    <row r="49">
      <c r="C49" t="inlineStr">
        <is>
          <t>XX OF WITNESS</t>
        </is>
      </c>
    </row>
    <row r="50">
      <c r="C50" t="inlineStr">
        <is>
          <t>RULING</t>
        </is>
      </c>
    </row>
    <row r="51">
      <c r="C51" t="inlineStr">
        <is>
          <t>POST_JUDGMENT</t>
        </is>
      </c>
    </row>
    <row r="52">
      <c r="C52" t="inlineStr">
        <is>
          <t>P.O</t>
        </is>
      </c>
    </row>
    <row r="53">
      <c r="C53" t="inlineStr">
        <is>
          <t>TRIAL</t>
        </is>
      </c>
    </row>
    <row r="54">
      <c r="C54" t="inlineStr">
        <is>
          <t>APPLICATION FOR BAIL</t>
        </is>
      </c>
    </row>
  </sheetData>
  <mergeCells count="2">
    <mergeCell ref="O5:Q5"/>
    <mergeCell ref="O11:Q11"/>
  </mergeCells>
  <dataValidations count="1">
    <dataValidation sqref="M14" showDropDown="0" showInputMessage="1" showErrorMessage="1" allowBlank="1" type="list">
      <formula1>QUARTER</formula1>
    </dataValidation>
  </dataValidations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6" sqref="C16"/>
    </sheetView>
  </sheetViews>
  <sheetFormatPr baseColWidth="8" defaultRowHeight="15"/>
  <cols>
    <col width="23.9453125" bestFit="1" customWidth="1" min="1" max="1"/>
    <col width="16.27734375" bestFit="1" customWidth="1" min="2" max="2"/>
    <col width="6.859375" bestFit="1" customWidth="1" min="3" max="4"/>
    <col width="6.72265625" bestFit="1" customWidth="1" min="5" max="5"/>
    <col width="9.68359375" bestFit="1" customWidth="1" min="6" max="6"/>
    <col width="9.81640625" bestFit="1" customWidth="1" min="7" max="7"/>
    <col width="11.296875" bestFit="1" customWidth="1" min="8" max="8"/>
    <col width="6.859375" bestFit="1" customWidth="1" min="9" max="9"/>
    <col width="9.81640625" bestFit="1" customWidth="1" min="10" max="10"/>
    <col width="11.296875" bestFit="1" customWidth="1" min="11" max="1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B685"/>
  <sheetViews>
    <sheetView showGridLines="0" showRowColHeaders="0" zoomScale="44" zoomScaleNormal="44" workbookViewId="0">
      <pane xSplit="1" ySplit="13" topLeftCell="C14" activePane="bottomRight" state="frozen"/>
      <selection activeCell="F18" sqref="F18"/>
      <selection pane="bottomLeft" activeCell="F18" sqref="F18"/>
      <selection pane="topRight" activeCell="F18" sqref="F18"/>
      <selection pane="bottomRight" activeCell="F1" sqref="F1"/>
    </sheetView>
  </sheetViews>
  <sheetFormatPr baseColWidth="8" defaultColWidth="9.14453125" defaultRowHeight="15"/>
  <cols>
    <col width="17.62109375" customWidth="1" style="272" min="1" max="1"/>
    <col hidden="1" style="272" min="2" max="2"/>
    <col width="8.875" bestFit="1" customWidth="1" style="272" min="3" max="3"/>
    <col width="24.48046875" bestFit="1" customWidth="1" style="272" min="4" max="4"/>
    <col width="37.125" customWidth="1" style="272" min="5" max="5"/>
    <col width="23.40625" bestFit="1" customWidth="1" style="272" min="6" max="7"/>
    <col width="30.265625" bestFit="1" customWidth="1" style="272" min="8" max="8"/>
    <col width="33.359375" bestFit="1" customWidth="1" style="272" min="9" max="9"/>
    <col width="20.984375" bestFit="1" customWidth="1" style="114" min="10" max="10"/>
    <col width="23.80859375" bestFit="1" customWidth="1" style="272" min="11" max="11"/>
    <col width="25.421875" customWidth="1" style="272" min="12" max="12"/>
    <col width="22.328125" bestFit="1" customWidth="1" style="114" min="13" max="13"/>
    <col width="22.05859375" bestFit="1" customWidth="1" style="272" min="14" max="14"/>
    <col width="14.52734375" customWidth="1" style="272" min="15" max="15"/>
    <col width="20.04296875" bestFit="1" customWidth="1" style="272" min="16" max="16"/>
    <col width="30.265625" bestFit="1" customWidth="1" style="272" min="17" max="17"/>
    <col width="11.8359375" bestFit="1" customWidth="1" style="272" min="18" max="18"/>
    <col width="11.296875" customWidth="1" style="272" min="19" max="19"/>
    <col width="27.3046875" bestFit="1" customWidth="1" style="272" min="20" max="20"/>
    <col width="27.3046875" customWidth="1" style="272" min="21" max="21"/>
    <col width="21.65625" customWidth="1" style="272" min="22" max="22"/>
    <col width="28.515625" bestFit="1" customWidth="1" style="63" min="23" max="23"/>
    <col width="20.3125" bestFit="1" customWidth="1" style="272" min="24" max="24"/>
    <col width="9.14453125" customWidth="1" style="272" min="25" max="27"/>
    <col hidden="1" style="272" min="28" max="28"/>
    <col width="9.14453125" customWidth="1" style="272" min="29" max="16384"/>
  </cols>
  <sheetData>
    <row r="1">
      <c r="D1" s="52">
        <f>_xlfn.UNICHAR(127968) &amp;"  HOME"</f>
        <v/>
      </c>
      <c r="E1" s="52">
        <f>_xlfn.UNICHAR(128209) &amp; " HEARING LOG"</f>
        <v/>
      </c>
      <c r="F1" s="52">
        <f>_xlfn.UNICHAR(128196)&amp;"   AUTO CAUSE LIST"</f>
        <v/>
      </c>
      <c r="G1" s="52">
        <f>_xlfn.UNICHAR(8505) &amp; "   INSIGHTS"</f>
        <v/>
      </c>
      <c r="H1" s="113">
        <f>_xlfn.UNICHAR(128100)&amp; "  COUNSEL DIRECTORY"</f>
        <v/>
      </c>
      <c r="I1" s="214">
        <f>_xlfn.UNICHAR(9997) &amp; "     QUARTERLY REPORTS"</f>
        <v/>
      </c>
      <c r="J1" s="272" t="n"/>
    </row>
    <row r="2">
      <c r="C2" s="55" t="n"/>
      <c r="D2" s="55" t="n"/>
      <c r="E2" s="55" t="n"/>
      <c r="F2" s="55" t="n"/>
      <c r="G2" s="55" t="n"/>
      <c r="H2" s="55" t="n"/>
      <c r="I2" s="55" t="n"/>
      <c r="J2" s="119" t="n"/>
      <c r="K2" s="64" t="n"/>
      <c r="L2" s="64" t="n"/>
      <c r="M2" s="115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5" t="n"/>
      <c r="X2" s="64" t="n"/>
      <c r="Y2" s="66" t="n"/>
    </row>
    <row r="3">
      <c r="C3" s="55" t="n"/>
      <c r="D3" s="55" t="n"/>
      <c r="E3" s="55" t="n"/>
      <c r="F3" s="55" t="n"/>
      <c r="G3" s="55" t="n"/>
      <c r="H3" s="55" t="n"/>
      <c r="I3" s="55" t="n"/>
      <c r="J3" s="119" t="n"/>
      <c r="K3" s="64" t="n"/>
      <c r="L3" s="64" t="n"/>
      <c r="M3" s="115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272" t="n"/>
      <c r="X3" s="212" t="n"/>
      <c r="Y3" s="66" t="n"/>
    </row>
    <row r="4">
      <c r="C4" s="55" t="n"/>
      <c r="D4" s="55" t="n"/>
      <c r="E4" s="55" t="n"/>
      <c r="F4" s="55" t="n"/>
      <c r="G4" s="55" t="n"/>
      <c r="H4" s="55" t="n"/>
      <c r="I4" s="55" t="n"/>
      <c r="J4" s="119" t="n"/>
      <c r="K4" s="64" t="n"/>
      <c r="L4" s="64" t="n"/>
      <c r="M4" s="115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5" t="n"/>
      <c r="X4" s="64" t="n"/>
      <c r="Y4" s="66" t="n"/>
    </row>
    <row r="5">
      <c r="C5" s="55" t="n"/>
      <c r="D5" s="55" t="n"/>
      <c r="E5" s="55" t="n"/>
      <c r="F5" s="55" t="n"/>
      <c r="G5" s="55" t="n"/>
      <c r="H5" s="55" t="n"/>
      <c r="I5" s="55" t="n"/>
      <c r="J5" s="119" t="n"/>
      <c r="K5" s="64" t="n"/>
      <c r="L5" s="64" t="n"/>
      <c r="M5" s="115" t="n"/>
      <c r="N5" s="64" t="n"/>
      <c r="O5" s="64" t="n"/>
      <c r="P5" s="64" t="n"/>
      <c r="Q5" s="64" t="n"/>
      <c r="R5" s="64" t="n"/>
      <c r="S5" s="64" t="n"/>
      <c r="T5" s="64" t="n"/>
      <c r="U5" s="64" t="n"/>
      <c r="V5" s="68" t="n"/>
      <c r="W5" s="57" t="n"/>
      <c r="X5" s="64" t="n"/>
      <c r="Y5" s="66" t="n"/>
    </row>
    <row r="6">
      <c r="C6" s="55" t="n"/>
      <c r="D6" s="55" t="n"/>
      <c r="E6" s="55" t="n"/>
      <c r="F6" s="55" t="n"/>
      <c r="G6" s="55" t="n"/>
      <c r="H6" s="55" t="n"/>
      <c r="I6" s="55" t="n"/>
      <c r="J6" s="119" t="n"/>
      <c r="K6" s="64" t="n"/>
      <c r="L6" s="64" t="n"/>
      <c r="M6" s="115" t="n"/>
      <c r="N6" s="64" t="n"/>
      <c r="O6" s="64" t="n"/>
      <c r="P6" s="64" t="n"/>
      <c r="Q6" s="64" t="n"/>
      <c r="R6" s="64" t="n"/>
      <c r="S6" s="64" t="n"/>
      <c r="T6" s="70" t="n"/>
      <c r="U6" s="70" t="n"/>
      <c r="V6" s="71" t="n"/>
      <c r="W6" s="65" t="n"/>
      <c r="X6" s="64" t="n"/>
      <c r="Y6" s="66" t="n"/>
    </row>
    <row r="7">
      <c r="C7" s="55" t="n"/>
      <c r="D7" s="55" t="n"/>
      <c r="E7" s="55" t="n"/>
      <c r="F7" s="55" t="n"/>
      <c r="G7" s="55" t="n"/>
      <c r="H7" s="55" t="n"/>
      <c r="I7" s="55" t="n"/>
      <c r="J7" s="119" t="n"/>
      <c r="K7" s="73" t="n"/>
      <c r="L7" s="73" t="n"/>
      <c r="M7" s="116" t="n"/>
      <c r="N7" s="73" t="n"/>
      <c r="O7" s="73" t="n"/>
      <c r="P7" s="73" t="n"/>
      <c r="Q7" s="73" t="n"/>
      <c r="R7" s="64" t="n"/>
      <c r="S7" s="70" t="n"/>
      <c r="T7" s="74" t="n"/>
      <c r="U7" s="74" t="n"/>
      <c r="V7" s="68" t="n"/>
      <c r="W7" s="272" t="n"/>
      <c r="X7" s="1" t="n"/>
      <c r="Y7" s="66" t="n"/>
    </row>
    <row r="8">
      <c r="A8" s="212" t="n"/>
      <c r="C8" s="55" t="n"/>
      <c r="D8" s="55" t="n"/>
      <c r="E8" s="55" t="n"/>
      <c r="F8" s="55" t="n"/>
      <c r="G8" s="55" t="n"/>
      <c r="H8" s="55" t="n"/>
      <c r="I8" s="55" t="n"/>
      <c r="J8" s="119" t="n"/>
      <c r="K8" s="75" t="n"/>
      <c r="L8" s="75" t="n"/>
      <c r="M8" s="117" t="n"/>
      <c r="N8" s="75" t="n"/>
      <c r="O8" s="73" t="n"/>
      <c r="P8" s="73" t="n"/>
      <c r="Q8" s="73" t="n"/>
      <c r="R8" s="70" t="n"/>
      <c r="S8" s="76" t="n"/>
      <c r="T8" s="70" t="n"/>
      <c r="U8" s="70" t="n"/>
      <c r="V8" s="73" t="n"/>
      <c r="W8" s="65" t="n"/>
      <c r="X8" s="64" t="n"/>
      <c r="Y8" s="66" t="n"/>
    </row>
    <row r="9">
      <c r="A9" s="259" t="n"/>
      <c r="C9" s="55" t="n"/>
      <c r="D9" s="55" t="n"/>
      <c r="E9" s="55" t="n"/>
      <c r="F9" s="55" t="n"/>
      <c r="G9" s="55" t="n"/>
      <c r="H9" s="55" t="n"/>
      <c r="I9" s="55" t="n"/>
      <c r="J9" s="119" t="n"/>
      <c r="K9" s="75" t="n"/>
      <c r="L9" s="75" t="n"/>
      <c r="M9" s="117" t="n"/>
      <c r="N9" s="75" t="n"/>
      <c r="O9" s="75" t="n"/>
      <c r="P9" s="75" t="n"/>
      <c r="Q9" s="77" t="n"/>
      <c r="R9" s="72" t="n"/>
      <c r="S9" s="70" t="n"/>
      <c r="T9" s="75" t="n"/>
      <c r="U9" s="75" t="n"/>
      <c r="V9" s="68" t="n"/>
      <c r="W9" s="272" t="n"/>
      <c r="X9" s="73" t="n"/>
      <c r="Y9" s="66" t="n"/>
    </row>
    <row r="10">
      <c r="A10" s="258" t="n"/>
      <c r="C10" s="55" t="n"/>
      <c r="D10" s="55" t="n"/>
      <c r="E10" s="55" t="n"/>
      <c r="F10" s="55" t="n"/>
      <c r="G10" s="55" t="n"/>
      <c r="H10" s="55" t="n"/>
      <c r="I10" s="55" t="n"/>
      <c r="J10" s="119" t="n"/>
      <c r="K10" s="78" t="n"/>
      <c r="L10" s="78" t="n"/>
      <c r="M10" s="118" t="n"/>
      <c r="N10" s="78" t="n"/>
      <c r="O10" s="78" t="n"/>
      <c r="P10" s="78" t="n"/>
      <c r="Q10" s="79" t="n"/>
      <c r="R10" s="70" t="n"/>
      <c r="S10" s="80" t="n"/>
      <c r="T10" s="70" t="n"/>
      <c r="U10" s="70" t="n"/>
      <c r="V10" s="80" t="n"/>
      <c r="W10" s="65" t="n"/>
      <c r="X10" s="80" t="n"/>
      <c r="Y10" s="66" t="n"/>
    </row>
    <row r="11">
      <c r="A11" s="257" t="n"/>
      <c r="C11" s="55" t="n"/>
      <c r="D11" s="55" t="n"/>
      <c r="E11" s="55" t="n"/>
      <c r="F11" s="55" t="n"/>
      <c r="G11" s="55" t="n"/>
      <c r="H11" s="55" t="n"/>
      <c r="I11" s="55" t="n"/>
      <c r="J11" s="119" t="n"/>
      <c r="K11" s="78" t="n"/>
      <c r="L11" s="78" t="n"/>
      <c r="M11" s="118" t="n"/>
      <c r="N11" s="78" t="n"/>
      <c r="O11" s="78" t="n"/>
      <c r="P11" s="67" t="n"/>
      <c r="Q11" s="77" t="n"/>
      <c r="R11" s="78" t="n"/>
      <c r="S11" s="77" t="n"/>
      <c r="T11" s="80" t="n"/>
      <c r="U11" s="80" t="n"/>
      <c r="V11" s="68" t="n"/>
      <c r="W11" s="272" t="n"/>
      <c r="X11" s="1" t="n"/>
      <c r="Y11" s="66" t="n"/>
      <c r="AB11" s="272">
        <f t="array" ref="AB11:AB13">HCT6_CR[[#All],[SUIT NUMBER]]</f>
        <v/>
      </c>
    </row>
    <row r="12">
      <c r="A12" s="262" t="n"/>
      <c r="C12" s="55" t="n"/>
      <c r="D12" s="55" t="n"/>
      <c r="E12" s="55" t="n"/>
      <c r="F12" s="55" t="n"/>
      <c r="G12" s="55" t="n"/>
      <c r="H12" s="55" t="n"/>
      <c r="I12" s="55" t="n"/>
      <c r="J12" s="119" t="n"/>
      <c r="K12" s="55" t="n"/>
      <c r="L12" s="55" t="n"/>
      <c r="M12" s="119" t="n"/>
      <c r="N12" s="55" t="n"/>
      <c r="O12" s="57" t="n"/>
      <c r="P12" s="81" t="n"/>
      <c r="Q12" s="55" t="n"/>
      <c r="R12" s="70" t="n"/>
      <c r="S12" s="55" t="n"/>
      <c r="T12" s="70" t="n"/>
      <c r="U12" s="70" t="n"/>
      <c r="V12" s="55" t="n"/>
      <c r="W12" s="65" t="n"/>
      <c r="X12" s="55" t="n"/>
      <c r="Y12" s="66" t="n"/>
      <c r="AB12" s="272" t="n">
        <v>0</v>
      </c>
    </row>
    <row r="13" ht="18.75" customHeight="1" thickBot="1">
      <c r="A13" s="261" t="n"/>
      <c r="C13" s="82" t="inlineStr">
        <is>
          <t>S/N</t>
        </is>
      </c>
      <c r="D13" s="82" t="inlineStr">
        <is>
          <t>SUIT NUMBER</t>
        </is>
      </c>
      <c r="E13" s="82" t="inlineStr">
        <is>
          <t>PARTIES</t>
        </is>
      </c>
      <c r="F13" s="82" t="inlineStr">
        <is>
          <t>CASE TYPE</t>
        </is>
      </c>
      <c r="G13" s="82" t="inlineStr">
        <is>
          <t>NATURE OF CLAIM</t>
        </is>
      </c>
      <c r="H13" s="82" t="inlineStr">
        <is>
          <t>PARTICULARS</t>
        </is>
      </c>
      <c r="I13" s="82" t="inlineStr">
        <is>
          <t>CLAIMANT COUNSEL</t>
        </is>
      </c>
      <c r="J13" s="120" t="inlineStr">
        <is>
          <t>PHONE NUMBER</t>
        </is>
      </c>
      <c r="K13" s="82" t="inlineStr">
        <is>
          <t>E-MAIL</t>
        </is>
      </c>
      <c r="L13" s="82" t="inlineStr">
        <is>
          <t>DEFENDANT COUNSEL</t>
        </is>
      </c>
      <c r="M13" s="120" t="inlineStr">
        <is>
          <t>PHONE NUMBER2</t>
        </is>
      </c>
      <c r="N13" s="82" t="inlineStr">
        <is>
          <t>E-MAIL2</t>
        </is>
      </c>
      <c r="O13" s="82" t="inlineStr">
        <is>
          <t>DATE FILED</t>
        </is>
      </c>
      <c r="P13" s="82" t="inlineStr">
        <is>
          <t>DATE ASSIGNED</t>
        </is>
      </c>
      <c r="Q13" s="82" t="inlineStr">
        <is>
          <t>DATE TRIAL COMMENCED</t>
        </is>
      </c>
      <c r="R13" s="82" t="inlineStr">
        <is>
          <t>STATUS</t>
        </is>
      </c>
      <c r="S13" s="82" t="inlineStr">
        <is>
          <t>DETAILS</t>
        </is>
      </c>
      <c r="T13" s="82" t="inlineStr">
        <is>
          <t>CURRENT AGE OF CASE</t>
        </is>
      </c>
      <c r="U13" s="82" t="inlineStr">
        <is>
          <t>AGE DISPLAY</t>
        </is>
      </c>
      <c r="V13" s="82" t="inlineStr">
        <is>
          <t>DATE CONCLUDED</t>
        </is>
      </c>
      <c r="W13" s="83" t="inlineStr">
        <is>
          <t>AGE WHEN CONCLUDED</t>
        </is>
      </c>
      <c r="X13" s="82" t="inlineStr">
        <is>
          <t xml:space="preserve">AVERAGE AGE </t>
        </is>
      </c>
      <c r="Y13" s="66" t="n"/>
      <c r="AB13" s="272" t="n">
        <v>0</v>
      </c>
    </row>
    <row r="14" ht="20.25" customHeight="1" thickBot="1" thickTop="1">
      <c r="A14" s="212" t="n"/>
      <c r="C14" s="84">
        <f t="array" ref="C14">IF(HCT6_CR[[#This Row],[SUIT NUMBER]]="","",ROW()-ROW(HCT6_CR[#Headers]))</f>
        <v/>
      </c>
      <c r="D14" s="210" t="inlineStr">
        <is>
          <t>PHC/88/2026</t>
        </is>
      </c>
      <c r="E14" s="210" t="inlineStr">
        <is>
          <t>OKON v EDET</t>
        </is>
      </c>
      <c r="F14" s="210" t="inlineStr">
        <is>
          <t>WRIT</t>
        </is>
      </c>
      <c r="G14" s="210" t="inlineStr">
        <is>
          <t>LAND</t>
        </is>
      </c>
      <c r="H14" s="210" t="n"/>
      <c r="I14" s="210" t="inlineStr">
        <is>
          <t>K. AMAEWHULE ESQ</t>
        </is>
      </c>
      <c r="J14" s="243" t="inlineStr">
        <is>
          <t>08012345678</t>
        </is>
      </c>
      <c r="K14" s="248" t="n"/>
      <c r="L14" s="210" t="inlineStr">
        <is>
          <t>P. OKORO ESQ</t>
        </is>
      </c>
      <c r="M14" s="243" t="n"/>
      <c r="N14" s="248" t="n"/>
      <c r="O14" s="289" t="n">
        <v>46250</v>
      </c>
      <c r="P14" s="289" t="n"/>
      <c r="Q14" s="289" t="n"/>
      <c r="R14" s="210" t="inlineStr">
        <is>
          <t>ACTIVE</t>
        </is>
      </c>
      <c r="S14" s="98" t="n"/>
      <c r="T14" s="290">
        <f>IF(HCT6_CR[[#This Row],[DATE FILED]]="","",ROUND(_xlfn.DAYS(TODAY(),HCT6_CR[[#This Row],[DATE FILED]])/365,1))</f>
        <v/>
      </c>
      <c r="U14" s="291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4" s="246" t="n"/>
      <c r="W14" s="145">
        <f>IF(HCT6_CR[[#This Row],[DATE FILED]]="","",IF(HCT6_CR[[#This Row],[DATE CONCLUDED]]="","ON GOING",DATEDIF(HCT6_CR[[#This Row],[DATE FILED]],HCT6_CR[[#This Row],[DATE CONCLUDED]],"Y")))</f>
        <v/>
      </c>
      <c r="X14" s="210">
        <f>IFERROR(AVERAGEIFS(HCT6_CR[[#This Row],[CURRENT AGE OF CASE]],HCT6_CR[[#This Row],[STATUS]],"ACTIVE",HCT6_CR[[#This Row],[CURRENT AGE OF CASE]],"&gt;0"),0)</f>
        <v/>
      </c>
      <c r="Y14" s="66" t="n"/>
    </row>
    <row r="15" ht="19.5" customHeight="1" thickTop="1">
      <c r="A15" s="263" t="n"/>
      <c r="C15" s="84">
        <f t="array" ref="C15">IF(HCT6_CR[[#This Row],[SUIT NUMBER]]="","",ROW()-ROW(HCT6_CR[#Headers]))</f>
        <v/>
      </c>
      <c r="D15" s="210" t="n"/>
      <c r="E15" s="210" t="n"/>
      <c r="F15" s="210" t="n"/>
      <c r="G15" s="210" t="n"/>
      <c r="H15" s="210" t="n"/>
      <c r="I15" s="210" t="n"/>
      <c r="J15" s="243" t="n"/>
      <c r="K15" s="248" t="n"/>
      <c r="L15" s="210" t="n"/>
      <c r="M15" s="243" t="n"/>
      <c r="N15" s="248" t="n"/>
      <c r="O15" s="289" t="n"/>
      <c r="P15" s="289" t="n"/>
      <c r="Q15" s="289" t="n"/>
      <c r="R15" s="210" t="n"/>
      <c r="S15" s="98" t="n"/>
      <c r="T15" s="290">
        <f>IF(HCT6_CR[[#This Row],[DATE FILED]]="","",ROUND(_xlfn.DAYS(TODAY(),HCT6_CR[[#This Row],[DATE FILED]])/365,1))</f>
        <v/>
      </c>
      <c r="U15" s="292">
        <f>IF(HCT6_CR[[#This Row],[DATE FILED]]="","",
      _xlfn.LET(
              _xlpm.y, DATEDIF(HCT6_CR[[#This Row],[DATE FILED]],TODAY(),"y"),
              _xlpm.m, DATEDIF(HCT6_CR[[#This Row],[DATE FILED]],TODAY(), "ym"),
              _xlpm.y &amp; "  Year" &amp; IF(_xlpm.y=1, "","s") &amp; " " &amp; _xlpm.m &amp;" Month" &amp; IF(_xlpm.m=1, "", "s")
    )
)</f>
        <v/>
      </c>
      <c r="V15" s="210" t="n"/>
      <c r="W15" s="251">
        <f>IF(HCT6_CR[[#This Row],[DATE FILED]]="","",IF(HCT6_CR[[#This Row],[DATE CONCLUDED]]="","ON GOING",DATEDIF(HCT6_CR[[#This Row],[DATE FILED]],HCT6_CR[[#This Row],[DATE CONCLUDED]],"Y")))</f>
        <v/>
      </c>
      <c r="X15" s="252">
        <f>IFERROR(AVERAGEIFS(HCT6_CR[[#This Row],[CURRENT AGE OF CASE]],HCT6_CR[[#This Row],[STATUS]],"ACTIVE",HCT6_CR[[#This Row],[CURRENT AGE OF CASE]],"&gt;0"),0)</f>
        <v/>
      </c>
      <c r="Y15" s="66" t="n"/>
    </row>
    <row r="16">
      <c r="A16" s="264" t="n"/>
    </row>
    <row r="17">
      <c r="A17" s="259" t="n"/>
    </row>
    <row r="18">
      <c r="A18" s="258" t="n"/>
    </row>
    <row r="19">
      <c r="A19" s="257" t="n"/>
    </row>
    <row r="20">
      <c r="A20" s="263" t="n"/>
    </row>
    <row r="21">
      <c r="A21" s="264" t="n"/>
    </row>
    <row r="22">
      <c r="A22" s="259" t="n"/>
    </row>
    <row r="23">
      <c r="A23" s="258" t="n"/>
    </row>
    <row r="24">
      <c r="A24" s="257" t="n"/>
    </row>
    <row r="25">
      <c r="A25" s="263" t="n"/>
    </row>
    <row r="26">
      <c r="A26" s="264" t="n"/>
    </row>
    <row r="27">
      <c r="A27" s="259" t="n"/>
    </row>
    <row r="28">
      <c r="A28" s="258" t="n"/>
    </row>
    <row r="29">
      <c r="A29" s="257" t="n"/>
    </row>
    <row r="30">
      <c r="A30" s="263" t="n"/>
    </row>
    <row r="31">
      <c r="A31" s="264" t="n"/>
    </row>
    <row r="32">
      <c r="A32" s="259" t="n"/>
    </row>
    <row r="33">
      <c r="A33" s="258" t="n"/>
    </row>
    <row r="34">
      <c r="A34" s="257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3" t="n"/>
    </row>
    <row r="42">
      <c r="A42" s="264" t="n"/>
    </row>
    <row r="43">
      <c r="A43" s="259" t="n"/>
    </row>
    <row r="44">
      <c r="A44" s="258" t="n"/>
    </row>
    <row r="45">
      <c r="A45" s="257" t="n"/>
    </row>
    <row r="46">
      <c r="A46" s="263" t="n"/>
    </row>
    <row r="47">
      <c r="A47" s="264" t="n"/>
    </row>
    <row r="48">
      <c r="A48" s="259" t="n"/>
    </row>
    <row r="49">
      <c r="A49" s="258" t="n"/>
    </row>
    <row r="50">
      <c r="A50" s="257" t="n"/>
    </row>
    <row r="51">
      <c r="A51" s="263" t="n"/>
    </row>
    <row r="52">
      <c r="A52" s="264" t="n"/>
    </row>
    <row r="53">
      <c r="A53" s="259" t="n"/>
    </row>
    <row r="54">
      <c r="A54" s="258" t="n"/>
    </row>
    <row r="55">
      <c r="A55" s="257" t="n"/>
    </row>
    <row r="57">
      <c r="A57" s="263" t="n"/>
    </row>
    <row r="58">
      <c r="A58" s="264" t="n"/>
    </row>
    <row r="59">
      <c r="A59" s="259" t="n"/>
    </row>
    <row r="60">
      <c r="A60" s="258" t="n"/>
    </row>
    <row r="61">
      <c r="A61" s="257" t="n"/>
    </row>
    <row r="62">
      <c r="A62" s="263" t="n"/>
    </row>
    <row r="63">
      <c r="A63" s="264" t="n"/>
    </row>
    <row r="64">
      <c r="A64" s="259" t="n"/>
    </row>
    <row r="65">
      <c r="A65" s="258" t="n"/>
    </row>
    <row r="66">
      <c r="A66" s="257" t="n"/>
    </row>
    <row r="67">
      <c r="A67" s="263" t="n"/>
    </row>
    <row r="68">
      <c r="A68" s="264" t="n"/>
    </row>
    <row r="69">
      <c r="A69" s="259" t="n"/>
    </row>
    <row r="70">
      <c r="A70" s="258" t="n"/>
    </row>
    <row r="71">
      <c r="A71" s="257" t="n"/>
    </row>
    <row r="72">
      <c r="A72" s="263" t="n"/>
    </row>
    <row r="73">
      <c r="A73" s="264" t="n"/>
    </row>
    <row r="74">
      <c r="A74" s="259" t="n"/>
    </row>
    <row r="75">
      <c r="A75" s="258" t="n"/>
    </row>
    <row r="76">
      <c r="A76" s="257" t="n"/>
    </row>
    <row r="78">
      <c r="A78" s="263" t="n"/>
    </row>
    <row r="79">
      <c r="A79" s="264" t="n"/>
    </row>
    <row r="80">
      <c r="A80" s="259" t="n"/>
    </row>
    <row r="81">
      <c r="A81" s="258" t="n"/>
    </row>
    <row r="82">
      <c r="A82" s="257" t="n"/>
    </row>
    <row r="83">
      <c r="A83" s="263" t="n"/>
    </row>
    <row r="84">
      <c r="A84" s="264" t="n"/>
    </row>
    <row r="85">
      <c r="A85" s="259" t="n"/>
    </row>
    <row r="86">
      <c r="A86" s="258" t="n"/>
    </row>
    <row r="87">
      <c r="A87" s="257" t="n"/>
    </row>
    <row r="88">
      <c r="A88" s="263" t="n"/>
    </row>
    <row r="89">
      <c r="A89" s="264" t="n"/>
    </row>
    <row r="90">
      <c r="A90" s="259" t="n"/>
    </row>
    <row r="91">
      <c r="A91" s="258" t="n"/>
    </row>
    <row r="92">
      <c r="A92" s="257" t="n"/>
    </row>
    <row r="93">
      <c r="A93" s="263" t="n"/>
    </row>
    <row r="94">
      <c r="A94" s="264" t="n"/>
    </row>
    <row r="95">
      <c r="A95" s="259" t="n"/>
    </row>
    <row r="96">
      <c r="A96" s="258" t="n"/>
    </row>
    <row r="97">
      <c r="A97" s="257" t="n"/>
    </row>
    <row r="99">
      <c r="A99" s="263" t="n"/>
    </row>
    <row r="100">
      <c r="A100" s="264" t="n"/>
    </row>
    <row r="101">
      <c r="A101" s="259" t="n"/>
    </row>
    <row r="102">
      <c r="A102" s="258" t="n"/>
    </row>
    <row r="103">
      <c r="A103" s="257" t="n"/>
    </row>
    <row r="104">
      <c r="A104" s="263" t="n"/>
    </row>
    <row r="105">
      <c r="A105" s="264" t="n"/>
    </row>
    <row r="106">
      <c r="A106" s="259" t="n"/>
    </row>
    <row r="107">
      <c r="A107" s="258" t="n"/>
    </row>
    <row r="108">
      <c r="A108" s="257" t="n"/>
    </row>
    <row r="109">
      <c r="A109" s="263" t="n"/>
    </row>
    <row r="110">
      <c r="A110" s="264" t="n"/>
    </row>
    <row r="111">
      <c r="A111" s="259" t="n"/>
    </row>
    <row r="112">
      <c r="A112" s="258" t="n"/>
    </row>
    <row r="113">
      <c r="A113" s="257" t="n"/>
    </row>
    <row r="114">
      <c r="A114" s="263" t="n"/>
    </row>
    <row r="115">
      <c r="A115" s="264" t="n"/>
    </row>
    <row r="116">
      <c r="A116" s="259" t="n"/>
    </row>
    <row r="117">
      <c r="A117" s="258" t="n"/>
    </row>
    <row r="118">
      <c r="A118" s="257" t="n"/>
    </row>
    <row r="120">
      <c r="A120" s="263" t="n"/>
    </row>
    <row r="121">
      <c r="A121" s="264" t="n"/>
    </row>
    <row r="122">
      <c r="A122" s="259" t="n"/>
    </row>
    <row r="123">
      <c r="A123" s="258" t="n"/>
    </row>
    <row r="124">
      <c r="A124" s="257" t="n"/>
    </row>
    <row r="125">
      <c r="A125" s="263" t="n"/>
    </row>
    <row r="126">
      <c r="A126" s="264" t="n"/>
    </row>
    <row r="127">
      <c r="A127" s="259" t="n"/>
    </row>
    <row r="128">
      <c r="A128" s="258" t="n"/>
    </row>
    <row r="129">
      <c r="A129" s="257" t="n"/>
    </row>
    <row r="130">
      <c r="A130" s="263" t="n"/>
    </row>
    <row r="131">
      <c r="A131" s="264" t="n"/>
    </row>
    <row r="132">
      <c r="A132" s="259" t="n"/>
    </row>
    <row r="133">
      <c r="A133" s="258" t="n"/>
    </row>
    <row r="134">
      <c r="A134" s="257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1">
      <c r="A141" s="263" t="n"/>
    </row>
    <row r="142">
      <c r="A142" s="264" t="n"/>
    </row>
    <row r="143">
      <c r="A143" s="259" t="n"/>
    </row>
    <row r="144">
      <c r="A144" s="258" t="n"/>
    </row>
    <row r="145">
      <c r="A145" s="257" t="n"/>
    </row>
    <row r="146">
      <c r="A146" s="263" t="n"/>
    </row>
    <row r="147">
      <c r="A147" s="264" t="n"/>
    </row>
    <row r="148">
      <c r="A148" s="259" t="n"/>
    </row>
    <row r="149">
      <c r="A149" s="258" t="n"/>
    </row>
    <row r="150">
      <c r="A150" s="257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3" t="n"/>
    </row>
    <row r="157">
      <c r="A157" s="264" t="n"/>
    </row>
    <row r="158">
      <c r="A158" s="259" t="n"/>
    </row>
    <row r="159">
      <c r="A159" s="258" t="n"/>
    </row>
    <row r="160">
      <c r="A160" s="257" t="n"/>
    </row>
    <row r="162">
      <c r="A162" s="263" t="n"/>
    </row>
    <row r="163">
      <c r="A163" s="264" t="n"/>
    </row>
    <row r="164">
      <c r="A164" s="259" t="n"/>
    </row>
    <row r="165">
      <c r="A165" s="258" t="n"/>
    </row>
    <row r="166">
      <c r="A166" s="257" t="n"/>
    </row>
    <row r="167">
      <c r="A167" s="263" t="n"/>
    </row>
    <row r="168">
      <c r="A168" s="264" t="n"/>
    </row>
    <row r="169">
      <c r="A169" s="259" t="n"/>
    </row>
    <row r="170">
      <c r="A170" s="258" t="n"/>
    </row>
    <row r="171">
      <c r="A171" s="257" t="n"/>
    </row>
    <row r="172">
      <c r="A172" s="263" t="n"/>
    </row>
    <row r="173">
      <c r="A173" s="264" t="n"/>
    </row>
    <row r="174">
      <c r="A174" s="259" t="n"/>
    </row>
    <row r="175">
      <c r="A175" s="258" t="n"/>
    </row>
    <row r="176">
      <c r="A176" s="257" t="n"/>
    </row>
    <row r="177">
      <c r="A177" s="263" t="n"/>
    </row>
    <row r="178">
      <c r="A178" s="264" t="n"/>
    </row>
    <row r="179">
      <c r="A179" s="259" t="n"/>
    </row>
    <row r="180">
      <c r="A180" s="258" t="n"/>
    </row>
    <row r="181">
      <c r="A181" s="257" t="n"/>
    </row>
    <row r="183">
      <c r="A183" s="263" t="n"/>
    </row>
    <row r="184">
      <c r="A184" s="264" t="n"/>
    </row>
    <row r="185">
      <c r="A185" s="259" t="n"/>
    </row>
    <row r="186">
      <c r="A186" s="258" t="n"/>
    </row>
    <row r="187">
      <c r="A187" s="257" t="n"/>
    </row>
    <row r="188">
      <c r="A188" s="263" t="n"/>
    </row>
    <row r="189">
      <c r="A189" s="264" t="n"/>
    </row>
    <row r="190">
      <c r="A190" s="259" t="n"/>
    </row>
    <row r="191">
      <c r="A191" s="258" t="n"/>
    </row>
    <row r="192">
      <c r="A192" s="257" t="n"/>
    </row>
    <row r="193">
      <c r="A193" s="263" t="n"/>
    </row>
    <row r="194">
      <c r="A194" s="264" t="n"/>
    </row>
    <row r="195">
      <c r="A195" s="259" t="n"/>
    </row>
    <row r="196">
      <c r="A196" s="258" t="n"/>
    </row>
    <row r="197">
      <c r="A197" s="257" t="n"/>
    </row>
    <row r="198">
      <c r="A198" s="263" t="n"/>
    </row>
    <row r="199">
      <c r="A199" s="264" t="n"/>
    </row>
    <row r="200">
      <c r="A200" s="259" t="n"/>
    </row>
    <row r="201">
      <c r="A201" s="258" t="n"/>
    </row>
    <row r="202">
      <c r="A202" s="257" t="n"/>
    </row>
    <row r="204">
      <c r="A204" s="263" t="n"/>
    </row>
    <row r="205">
      <c r="A205" s="264" t="n"/>
    </row>
    <row r="206">
      <c r="A206" s="259" t="n"/>
    </row>
    <row r="207">
      <c r="A207" s="258" t="n"/>
    </row>
    <row r="208">
      <c r="A208" s="257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3" t="n"/>
    </row>
    <row r="215">
      <c r="A215" s="264" t="n"/>
    </row>
    <row r="216">
      <c r="A216" s="259" t="n"/>
    </row>
    <row r="217">
      <c r="A217" s="258" t="n"/>
    </row>
    <row r="218">
      <c r="A218" s="257" t="n"/>
    </row>
    <row r="219">
      <c r="A219" s="263" t="n"/>
    </row>
    <row r="220">
      <c r="A220" s="264" t="n"/>
    </row>
    <row r="221">
      <c r="A221" s="259" t="n"/>
    </row>
    <row r="222">
      <c r="A222" s="258" t="n"/>
    </row>
    <row r="223">
      <c r="A223" s="257" t="n"/>
    </row>
    <row r="225">
      <c r="A225" s="263" t="n"/>
    </row>
    <row r="226">
      <c r="A226" s="264" t="n"/>
    </row>
    <row r="227">
      <c r="A227" s="259" t="n"/>
    </row>
    <row r="228">
      <c r="A228" s="258" t="n"/>
    </row>
    <row r="229">
      <c r="A229" s="257" t="n"/>
    </row>
    <row r="230">
      <c r="A230" s="263" t="n"/>
    </row>
    <row r="231">
      <c r="A231" s="264" t="n"/>
    </row>
    <row r="232">
      <c r="A232" s="259" t="n"/>
    </row>
    <row r="233">
      <c r="A233" s="258" t="n"/>
    </row>
    <row r="234">
      <c r="A234" s="257" t="n"/>
    </row>
    <row r="235">
      <c r="A235" s="263" t="n"/>
    </row>
    <row r="236">
      <c r="A236" s="264" t="n"/>
    </row>
    <row r="237">
      <c r="A237" s="259" t="n"/>
    </row>
    <row r="238">
      <c r="A238" s="258" t="n"/>
    </row>
    <row r="239">
      <c r="A239" s="257" t="n"/>
    </row>
    <row r="240">
      <c r="A240" s="263" t="n"/>
    </row>
    <row r="241">
      <c r="A241" s="264" t="n"/>
    </row>
    <row r="242">
      <c r="A242" s="259" t="n"/>
    </row>
    <row r="243">
      <c r="A243" s="258" t="n"/>
    </row>
    <row r="244">
      <c r="A244" s="257" t="n"/>
    </row>
    <row r="246">
      <c r="A246" s="263" t="n"/>
    </row>
    <row r="247">
      <c r="A247" s="264" t="n"/>
    </row>
    <row r="248">
      <c r="A248" s="259" t="n"/>
    </row>
    <row r="249">
      <c r="A249" s="258" t="n"/>
    </row>
    <row r="250">
      <c r="A250" s="257" t="n"/>
    </row>
    <row r="251">
      <c r="A251" s="263" t="n"/>
    </row>
    <row r="252">
      <c r="A252" s="264" t="n"/>
    </row>
    <row r="253">
      <c r="A253" s="259" t="n"/>
    </row>
    <row r="254">
      <c r="A254" s="258" t="n"/>
    </row>
    <row r="255">
      <c r="A255" s="257" t="n"/>
    </row>
    <row r="256">
      <c r="A256" s="263" t="n"/>
    </row>
    <row r="257">
      <c r="A257" s="264" t="n"/>
    </row>
    <row r="258">
      <c r="A258" s="259" t="n"/>
    </row>
    <row r="259">
      <c r="A259" s="258" t="n"/>
    </row>
    <row r="260">
      <c r="A260" s="257" t="n"/>
    </row>
    <row r="261">
      <c r="A261" s="263" t="n"/>
    </row>
    <row r="262">
      <c r="A262" s="264" t="n"/>
    </row>
    <row r="263">
      <c r="A263" s="259" t="n"/>
    </row>
    <row r="264">
      <c r="A264" s="258" t="n"/>
    </row>
    <row r="265">
      <c r="A265" s="257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3" t="n"/>
    </row>
    <row r="273">
      <c r="A273" s="264" t="n"/>
    </row>
    <row r="274">
      <c r="A274" s="259" t="n"/>
    </row>
    <row r="275">
      <c r="A275" s="258" t="n"/>
    </row>
    <row r="276">
      <c r="A276" s="257" t="n"/>
    </row>
    <row r="277">
      <c r="A277" s="263" t="n"/>
    </row>
    <row r="278">
      <c r="A278" s="264" t="n"/>
    </row>
    <row r="279">
      <c r="A279" s="259" t="n"/>
    </row>
    <row r="280">
      <c r="A280" s="258" t="n"/>
    </row>
    <row r="281">
      <c r="A281" s="257" t="n"/>
    </row>
    <row r="282">
      <c r="A282" s="263" t="n"/>
    </row>
    <row r="283">
      <c r="A283" s="264" t="n"/>
    </row>
    <row r="284">
      <c r="A284" s="259" t="n"/>
    </row>
    <row r="285">
      <c r="A285" s="258" t="n"/>
    </row>
    <row r="286">
      <c r="A286" s="257" t="n"/>
    </row>
    <row r="288">
      <c r="A288" s="263" t="n"/>
    </row>
    <row r="289">
      <c r="A289" s="264" t="n"/>
    </row>
    <row r="290">
      <c r="A290" s="259" t="n"/>
    </row>
    <row r="291">
      <c r="A291" s="258" t="n"/>
    </row>
    <row r="292">
      <c r="A292" s="257" t="n"/>
    </row>
    <row r="293">
      <c r="A293" s="263" t="n"/>
    </row>
    <row r="294">
      <c r="A294" s="264" t="n"/>
    </row>
    <row r="295">
      <c r="A295" s="259" t="n"/>
    </row>
    <row r="296">
      <c r="A296" s="258" t="n"/>
    </row>
    <row r="297">
      <c r="A297" s="257" t="n"/>
    </row>
    <row r="298">
      <c r="A298" s="263" t="n"/>
    </row>
    <row r="299">
      <c r="A299" s="264" t="n"/>
    </row>
    <row r="300">
      <c r="A300" s="259" t="n"/>
    </row>
    <row r="301">
      <c r="A301" s="258" t="n"/>
    </row>
    <row r="302">
      <c r="A302" s="257" t="n"/>
    </row>
    <row r="303">
      <c r="A303" s="263" t="n"/>
    </row>
    <row r="304">
      <c r="A304" s="264" t="n"/>
    </row>
    <row r="305">
      <c r="A305" s="259" t="n"/>
    </row>
    <row r="306">
      <c r="A306" s="258" t="n"/>
    </row>
    <row r="307">
      <c r="A307" s="257" t="n"/>
    </row>
    <row r="309">
      <c r="A309" s="263" t="n"/>
    </row>
    <row r="310">
      <c r="A310" s="264" t="n"/>
    </row>
    <row r="311">
      <c r="A311" s="259" t="n"/>
    </row>
    <row r="312">
      <c r="A312" s="258" t="n"/>
    </row>
    <row r="313">
      <c r="A313" s="257" t="n"/>
    </row>
    <row r="314">
      <c r="A314" s="263" t="n"/>
    </row>
    <row r="315">
      <c r="A315" s="264" t="n"/>
    </row>
    <row r="316">
      <c r="A316" s="259" t="n"/>
    </row>
    <row r="317">
      <c r="A317" s="258" t="n"/>
    </row>
    <row r="318">
      <c r="A318" s="257" t="n"/>
    </row>
    <row r="319">
      <c r="A319" s="263" t="n"/>
    </row>
    <row r="320">
      <c r="A320" s="264" t="n"/>
    </row>
    <row r="321">
      <c r="A321" s="259" t="n"/>
    </row>
    <row r="322">
      <c r="A322" s="258" t="n"/>
    </row>
    <row r="323">
      <c r="A323" s="257" t="n"/>
    </row>
    <row r="324">
      <c r="A324" s="263" t="n"/>
    </row>
    <row r="325">
      <c r="A325" s="264" t="n"/>
    </row>
    <row r="326">
      <c r="A326" s="259" t="n"/>
    </row>
    <row r="327">
      <c r="A327" s="258" t="n"/>
    </row>
    <row r="328">
      <c r="A328" s="257" t="n"/>
    </row>
    <row r="330">
      <c r="A330" s="263" t="n"/>
    </row>
    <row r="331">
      <c r="A331" s="264" t="n"/>
    </row>
    <row r="332">
      <c r="A332" s="259" t="n"/>
    </row>
    <row r="333">
      <c r="A333" s="258" t="n"/>
    </row>
    <row r="334">
      <c r="A334" s="257" t="n"/>
    </row>
    <row r="335">
      <c r="A335" s="263" t="n"/>
    </row>
    <row r="336">
      <c r="A336" s="264" t="n"/>
    </row>
    <row r="337">
      <c r="A337" s="259" t="n"/>
    </row>
    <row r="338">
      <c r="A338" s="258" t="n"/>
    </row>
    <row r="339">
      <c r="A339" s="257" t="n"/>
    </row>
    <row r="340">
      <c r="A340" s="263" t="n"/>
    </row>
    <row r="341">
      <c r="A341" s="264" t="n"/>
    </row>
    <row r="342">
      <c r="A342" s="259" t="n"/>
    </row>
    <row r="343">
      <c r="A343" s="258" t="n"/>
    </row>
    <row r="344">
      <c r="A344" s="257" t="n"/>
    </row>
    <row r="345">
      <c r="A345" s="263" t="n"/>
    </row>
    <row r="346">
      <c r="A346" s="264" t="n"/>
    </row>
    <row r="347">
      <c r="A347" s="259" t="n"/>
    </row>
    <row r="348">
      <c r="A348" s="258" t="n"/>
    </row>
    <row r="349">
      <c r="A349" s="257" t="n"/>
    </row>
    <row r="351">
      <c r="A351" s="263" t="n"/>
    </row>
    <row r="352">
      <c r="A352" s="264" t="n"/>
    </row>
    <row r="353">
      <c r="A353" s="259" t="n"/>
    </row>
    <row r="354">
      <c r="A354" s="258" t="n"/>
    </row>
    <row r="355">
      <c r="A355" s="257" t="n"/>
    </row>
    <row r="356">
      <c r="A356" s="263" t="n"/>
    </row>
    <row r="357">
      <c r="A357" s="264" t="n"/>
    </row>
    <row r="358">
      <c r="A358" s="259" t="n"/>
    </row>
    <row r="359">
      <c r="A359" s="258" t="n"/>
    </row>
    <row r="360">
      <c r="A360" s="257" t="n"/>
    </row>
    <row r="361">
      <c r="A361" s="263" t="n"/>
    </row>
    <row r="362">
      <c r="A362" s="264" t="n"/>
    </row>
    <row r="363">
      <c r="A363" s="259" t="n"/>
    </row>
    <row r="364">
      <c r="A364" s="258" t="n"/>
    </row>
    <row r="365">
      <c r="A365" s="257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2">
      <c r="A372" s="263" t="n"/>
    </row>
    <row r="373">
      <c r="A373" s="264" t="n"/>
    </row>
    <row r="374">
      <c r="A374" s="259" t="n"/>
    </row>
    <row r="375">
      <c r="A375" s="258" t="n"/>
    </row>
    <row r="376">
      <c r="A376" s="257" t="n"/>
    </row>
    <row r="377">
      <c r="A377" s="263" t="n"/>
    </row>
    <row r="378">
      <c r="A378" s="264" t="n"/>
    </row>
    <row r="379">
      <c r="A379" s="259" t="n"/>
    </row>
    <row r="380">
      <c r="A380" s="258" t="n"/>
    </row>
    <row r="381">
      <c r="A381" s="257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3" t="n"/>
    </row>
    <row r="388">
      <c r="A388" s="264" t="n"/>
    </row>
    <row r="389">
      <c r="A389" s="259" t="n"/>
    </row>
    <row r="390">
      <c r="A390" s="258" t="n"/>
    </row>
    <row r="391">
      <c r="A391" s="257" t="n"/>
    </row>
    <row r="393">
      <c r="A393" s="263" t="n"/>
    </row>
    <row r="394">
      <c r="A394" s="264" t="n"/>
    </row>
    <row r="395">
      <c r="A395" s="259" t="n"/>
    </row>
    <row r="396">
      <c r="A396" s="258" t="n"/>
    </row>
    <row r="397">
      <c r="A397" s="257" t="n"/>
    </row>
    <row r="398">
      <c r="A398" s="263" t="n"/>
    </row>
    <row r="399">
      <c r="A399" s="264" t="n"/>
    </row>
    <row r="400">
      <c r="A400" s="259" t="n"/>
    </row>
    <row r="401">
      <c r="A401" s="258" t="n"/>
    </row>
    <row r="402">
      <c r="A402" s="257" t="n"/>
    </row>
    <row r="403">
      <c r="A403" s="263" t="n"/>
    </row>
    <row r="404">
      <c r="A404" s="264" t="n"/>
    </row>
    <row r="405">
      <c r="A405" s="259" t="n"/>
    </row>
    <row r="406">
      <c r="A406" s="258" t="n"/>
    </row>
    <row r="407">
      <c r="A407" s="257" t="n"/>
    </row>
    <row r="408">
      <c r="A408" s="263" t="n"/>
    </row>
    <row r="409">
      <c r="A409" s="264" t="n"/>
    </row>
    <row r="410">
      <c r="A410" s="259" t="n"/>
    </row>
    <row r="411">
      <c r="A411" s="258" t="n"/>
    </row>
    <row r="412">
      <c r="A412" s="257" t="n"/>
    </row>
    <row r="414">
      <c r="A414" s="263" t="n"/>
    </row>
    <row r="415">
      <c r="A415" s="264" t="n"/>
    </row>
    <row r="416">
      <c r="A416" s="259" t="n"/>
    </row>
    <row r="417">
      <c r="A417" s="258" t="n"/>
    </row>
    <row r="418">
      <c r="A418" s="257" t="n"/>
    </row>
    <row r="419">
      <c r="A419" s="263" t="n"/>
    </row>
    <row r="420">
      <c r="A420" s="264" t="n"/>
    </row>
    <row r="421">
      <c r="A421" s="259" t="n"/>
    </row>
    <row r="422">
      <c r="A422" s="258" t="n"/>
    </row>
    <row r="423">
      <c r="A423" s="257" t="n"/>
    </row>
    <row r="424">
      <c r="A424" s="263" t="n"/>
    </row>
    <row r="425">
      <c r="A425" s="264" t="n"/>
    </row>
    <row r="426">
      <c r="A426" s="259" t="n"/>
    </row>
    <row r="427">
      <c r="A427" s="258" t="n"/>
    </row>
    <row r="428">
      <c r="A428" s="257" t="n"/>
    </row>
    <row r="429">
      <c r="A429" s="263" t="n"/>
    </row>
    <row r="430">
      <c r="A430" s="264" t="n"/>
    </row>
    <row r="431">
      <c r="A431" s="259" t="n"/>
    </row>
    <row r="432">
      <c r="A432" s="258" t="n"/>
    </row>
    <row r="433">
      <c r="A433" s="257" t="n"/>
    </row>
    <row r="435">
      <c r="A435" s="263" t="n"/>
    </row>
    <row r="436">
      <c r="A436" s="264" t="n"/>
    </row>
    <row r="437">
      <c r="A437" s="259" t="n"/>
    </row>
    <row r="438">
      <c r="A438" s="258" t="n"/>
    </row>
    <row r="439">
      <c r="A439" s="257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3" t="n"/>
    </row>
    <row r="446">
      <c r="A446" s="264" t="n"/>
    </row>
    <row r="447">
      <c r="A447" s="259" t="n"/>
    </row>
    <row r="448">
      <c r="A448" s="258" t="n"/>
    </row>
    <row r="449">
      <c r="A449" s="257" t="n"/>
    </row>
    <row r="450">
      <c r="A450" s="263" t="n"/>
    </row>
    <row r="451">
      <c r="A451" s="264" t="n"/>
    </row>
    <row r="452">
      <c r="A452" s="259" t="n"/>
    </row>
    <row r="453">
      <c r="A453" s="258" t="n"/>
    </row>
    <row r="454">
      <c r="A454" s="257" t="n"/>
    </row>
    <row r="456">
      <c r="A456" s="263" t="n"/>
    </row>
    <row r="457">
      <c r="A457" s="264" t="n"/>
    </row>
    <row r="458">
      <c r="A458" s="259" t="n"/>
    </row>
    <row r="459">
      <c r="A459" s="258" t="n"/>
    </row>
    <row r="460">
      <c r="A460" s="257" t="n"/>
    </row>
    <row r="461">
      <c r="A461" s="263" t="n"/>
    </row>
    <row r="462">
      <c r="A462" s="264" t="n"/>
    </row>
    <row r="463">
      <c r="A463" s="259" t="n"/>
    </row>
    <row r="464">
      <c r="A464" s="258" t="n"/>
    </row>
    <row r="465">
      <c r="A465" s="257" t="n"/>
    </row>
    <row r="466">
      <c r="A466" s="263" t="n"/>
    </row>
    <row r="467">
      <c r="A467" s="264" t="n"/>
    </row>
    <row r="468">
      <c r="A468" s="259" t="n"/>
    </row>
    <row r="469">
      <c r="A469" s="258" t="n"/>
    </row>
    <row r="470">
      <c r="A470" s="257" t="n"/>
    </row>
    <row r="471">
      <c r="A471" s="263" t="n"/>
    </row>
    <row r="472">
      <c r="A472" s="264" t="n"/>
    </row>
    <row r="473">
      <c r="A473" s="259" t="n"/>
    </row>
    <row r="474">
      <c r="A474" s="258" t="n"/>
    </row>
    <row r="475">
      <c r="A475" s="257" t="n"/>
    </row>
    <row r="477">
      <c r="A477" s="263" t="n"/>
    </row>
    <row r="478">
      <c r="A478" s="264" t="n"/>
    </row>
    <row r="479">
      <c r="A479" s="259" t="n"/>
    </row>
    <row r="480">
      <c r="A480" s="258" t="n"/>
    </row>
    <row r="481">
      <c r="A481" s="257" t="n"/>
    </row>
    <row r="482">
      <c r="A482" s="263" t="n"/>
    </row>
    <row r="483">
      <c r="A483" s="264" t="n"/>
    </row>
    <row r="484">
      <c r="A484" s="259" t="n"/>
    </row>
    <row r="485">
      <c r="A485" s="258" t="n"/>
    </row>
    <row r="486">
      <c r="A486" s="257" t="n"/>
    </row>
    <row r="487">
      <c r="A487" s="263" t="n"/>
    </row>
    <row r="488">
      <c r="A488" s="264" t="n"/>
    </row>
    <row r="489">
      <c r="A489" s="259" t="n"/>
    </row>
    <row r="490">
      <c r="A490" s="258" t="n"/>
    </row>
    <row r="491">
      <c r="A491" s="257" t="n"/>
    </row>
    <row r="492">
      <c r="A492" s="263" t="n"/>
    </row>
    <row r="493">
      <c r="A493" s="264" t="n"/>
    </row>
    <row r="494">
      <c r="A494" s="259" t="n"/>
    </row>
    <row r="495">
      <c r="A495" s="258" t="n"/>
    </row>
    <row r="496">
      <c r="A496" s="257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3" t="n"/>
    </row>
    <row r="504">
      <c r="A504" s="264" t="n"/>
    </row>
    <row r="505">
      <c r="A505" s="259" t="n"/>
    </row>
    <row r="506">
      <c r="A506" s="258" t="n"/>
    </row>
    <row r="507">
      <c r="A507" s="257" t="n"/>
    </row>
    <row r="508">
      <c r="A508" s="263" t="n"/>
    </row>
    <row r="509">
      <c r="A509" s="264" t="n"/>
    </row>
    <row r="510">
      <c r="A510" s="259" t="n"/>
    </row>
    <row r="511">
      <c r="A511" s="258" t="n"/>
    </row>
    <row r="512">
      <c r="A512" s="257" t="n"/>
    </row>
    <row r="513">
      <c r="A513" s="263" t="n"/>
    </row>
    <row r="514">
      <c r="A514" s="264" t="n"/>
    </row>
    <row r="515">
      <c r="A515" s="259" t="n"/>
    </row>
    <row r="516">
      <c r="A516" s="258" t="n"/>
    </row>
    <row r="517">
      <c r="A517" s="257" t="n"/>
    </row>
    <row r="519">
      <c r="A519" s="263" t="n"/>
    </row>
    <row r="520">
      <c r="A520" s="264" t="n"/>
    </row>
    <row r="521">
      <c r="A521" s="259" t="n"/>
    </row>
    <row r="522">
      <c r="A522" s="258" t="n"/>
    </row>
    <row r="523">
      <c r="A523" s="257" t="n"/>
    </row>
    <row r="524">
      <c r="A524" s="263" t="n"/>
    </row>
    <row r="525">
      <c r="A525" s="264" t="n"/>
    </row>
    <row r="526">
      <c r="A526" s="259" t="n"/>
    </row>
    <row r="527">
      <c r="A527" s="258" t="n"/>
    </row>
    <row r="528">
      <c r="A528" s="257" t="n"/>
    </row>
    <row r="529">
      <c r="A529" s="263" t="n"/>
    </row>
    <row r="530">
      <c r="A530" s="264" t="n"/>
    </row>
    <row r="531">
      <c r="A531" s="259" t="n"/>
    </row>
    <row r="532">
      <c r="A532" s="258" t="n"/>
    </row>
    <row r="533">
      <c r="A533" s="257" t="n"/>
    </row>
    <row r="534">
      <c r="A534" s="263" t="n"/>
    </row>
    <row r="535">
      <c r="A535" s="264" t="n"/>
    </row>
    <row r="536">
      <c r="A536" s="259" t="n"/>
    </row>
    <row r="537">
      <c r="A537" s="258" t="n"/>
    </row>
    <row r="538">
      <c r="A538" s="257" t="n"/>
    </row>
    <row r="540">
      <c r="A540" s="263" t="n"/>
    </row>
    <row r="541">
      <c r="A541" s="264" t="n"/>
    </row>
    <row r="542">
      <c r="A542" s="259" t="n"/>
    </row>
    <row r="543">
      <c r="A543" s="258" t="n"/>
    </row>
    <row r="544">
      <c r="A544" s="257" t="n"/>
    </row>
    <row r="545">
      <c r="A545" s="263" t="n"/>
    </row>
    <row r="546">
      <c r="A546" s="264" t="n"/>
    </row>
    <row r="547">
      <c r="A547" s="259" t="n"/>
    </row>
    <row r="548">
      <c r="A548" s="258" t="n"/>
    </row>
    <row r="549">
      <c r="A549" s="257" t="n"/>
    </row>
    <row r="550">
      <c r="A550" s="263" t="n"/>
    </row>
    <row r="551">
      <c r="A551" s="264" t="n"/>
    </row>
    <row r="552">
      <c r="A552" s="259" t="n"/>
    </row>
    <row r="553">
      <c r="A553" s="258" t="n"/>
    </row>
    <row r="554">
      <c r="A554" s="257" t="n"/>
    </row>
    <row r="555">
      <c r="A555" s="263" t="n"/>
    </row>
    <row r="556">
      <c r="A556" s="264" t="n"/>
    </row>
    <row r="557">
      <c r="A557" s="259" t="n"/>
    </row>
    <row r="558">
      <c r="A558" s="258" t="n"/>
    </row>
    <row r="559">
      <c r="A559" s="257" t="n"/>
    </row>
    <row r="561">
      <c r="A561" s="263" t="n"/>
    </row>
    <row r="562">
      <c r="A562" s="264" t="n"/>
    </row>
    <row r="563">
      <c r="A563" s="259" t="n"/>
    </row>
    <row r="564">
      <c r="A564" s="258" t="n"/>
    </row>
    <row r="565">
      <c r="A565" s="257" t="n"/>
    </row>
    <row r="566">
      <c r="A566" s="263" t="n"/>
    </row>
    <row r="567">
      <c r="A567" s="264" t="n"/>
    </row>
    <row r="568">
      <c r="A568" s="259" t="n"/>
    </row>
    <row r="569">
      <c r="A569" s="258" t="n"/>
    </row>
    <row r="570">
      <c r="A570" s="257" t="n"/>
    </row>
    <row r="571">
      <c r="A571" s="263" t="n"/>
    </row>
    <row r="572">
      <c r="A572" s="264" t="n"/>
    </row>
    <row r="573">
      <c r="A573" s="259" t="n"/>
    </row>
    <row r="574">
      <c r="A574" s="258" t="n"/>
    </row>
    <row r="575">
      <c r="A575" s="257" t="n"/>
    </row>
    <row r="576">
      <c r="A576" s="263" t="n"/>
    </row>
    <row r="577">
      <c r="A577" s="264" t="n"/>
    </row>
    <row r="578">
      <c r="A578" s="259" t="n"/>
    </row>
    <row r="579">
      <c r="A579" s="258" t="n"/>
    </row>
    <row r="580">
      <c r="A580" s="257" t="n"/>
    </row>
    <row r="582">
      <c r="A582" s="263" t="n"/>
    </row>
    <row r="583">
      <c r="A583" s="264" t="n"/>
    </row>
    <row r="584">
      <c r="A584" s="259" t="n"/>
    </row>
    <row r="585">
      <c r="A585" s="258" t="n"/>
    </row>
    <row r="586">
      <c r="A586" s="257" t="n"/>
    </row>
    <row r="587">
      <c r="A587" s="263" t="n"/>
    </row>
    <row r="588">
      <c r="A588" s="264" t="n"/>
    </row>
    <row r="589">
      <c r="A589" s="259" t="n"/>
    </row>
    <row r="590">
      <c r="A590" s="258" t="n"/>
    </row>
    <row r="591">
      <c r="A591" s="257" t="n"/>
    </row>
    <row r="592">
      <c r="A592" s="263" t="n"/>
    </row>
    <row r="593">
      <c r="A593" s="264" t="n"/>
    </row>
    <row r="594">
      <c r="A594" s="259" t="n"/>
    </row>
    <row r="595">
      <c r="A595" s="258" t="n"/>
    </row>
    <row r="596">
      <c r="A596" s="257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3">
      <c r="A603" s="263" t="n"/>
    </row>
    <row r="604">
      <c r="A604" s="264" t="n"/>
    </row>
    <row r="605">
      <c r="A605" s="259" t="n"/>
    </row>
    <row r="606">
      <c r="A606" s="258" t="n"/>
    </row>
    <row r="607">
      <c r="A607" s="257" t="n"/>
    </row>
    <row r="608">
      <c r="A608" s="263" t="n"/>
    </row>
    <row r="609">
      <c r="A609" s="264" t="n"/>
    </row>
    <row r="610">
      <c r="A610" s="259" t="n"/>
    </row>
    <row r="611">
      <c r="A611" s="258" t="n"/>
    </row>
    <row r="612">
      <c r="A612" s="257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3" t="n"/>
    </row>
    <row r="619">
      <c r="A619" s="264" t="n"/>
    </row>
    <row r="620">
      <c r="A620" s="259" t="n"/>
    </row>
    <row r="621">
      <c r="A621" s="258" t="n"/>
    </row>
    <row r="622">
      <c r="A622" s="257" t="n"/>
    </row>
    <row r="624">
      <c r="A624" s="263" t="n"/>
    </row>
    <row r="625">
      <c r="A625" s="264" t="n"/>
    </row>
    <row r="626">
      <c r="A626" s="259" t="n"/>
    </row>
    <row r="627">
      <c r="A627" s="258" t="n"/>
    </row>
    <row r="628">
      <c r="A628" s="257" t="n"/>
    </row>
    <row r="629">
      <c r="A629" s="263" t="n"/>
    </row>
    <row r="630">
      <c r="A630" s="264" t="n"/>
    </row>
    <row r="631">
      <c r="A631" s="259" t="n"/>
    </row>
    <row r="632">
      <c r="A632" s="258" t="n"/>
    </row>
    <row r="633">
      <c r="A633" s="257" t="n"/>
    </row>
    <row r="634">
      <c r="A634" s="263" t="n"/>
    </row>
    <row r="635">
      <c r="A635" s="264" t="n"/>
    </row>
    <row r="636">
      <c r="A636" s="259" t="n"/>
    </row>
    <row r="637">
      <c r="A637" s="258" t="n"/>
    </row>
    <row r="638">
      <c r="A638" s="257" t="n"/>
    </row>
    <row r="639">
      <c r="A639" s="263" t="n"/>
    </row>
    <row r="640">
      <c r="A640" s="264" t="n"/>
    </row>
    <row r="641">
      <c r="A641" s="259" t="n"/>
    </row>
    <row r="642">
      <c r="A642" s="258" t="n"/>
    </row>
    <row r="643">
      <c r="A643" s="257" t="n"/>
    </row>
    <row r="645">
      <c r="A645" s="263" t="n"/>
    </row>
    <row r="646">
      <c r="A646" s="264" t="n"/>
    </row>
    <row r="647">
      <c r="A647" s="259" t="n"/>
    </row>
    <row r="648">
      <c r="A648" s="258" t="n"/>
    </row>
    <row r="649">
      <c r="A649" s="257" t="n"/>
    </row>
    <row r="650">
      <c r="A650" s="263" t="n"/>
    </row>
    <row r="651">
      <c r="A651" s="264" t="n"/>
    </row>
    <row r="652">
      <c r="A652" s="259" t="n"/>
    </row>
    <row r="653">
      <c r="A653" s="258" t="n"/>
    </row>
    <row r="654">
      <c r="A654" s="257" t="n"/>
    </row>
    <row r="655">
      <c r="A655" s="263" t="n"/>
    </row>
    <row r="656">
      <c r="A656" s="264" t="n"/>
    </row>
    <row r="657">
      <c r="A657" s="259" t="n"/>
    </row>
    <row r="658">
      <c r="A658" s="258" t="n"/>
    </row>
    <row r="659">
      <c r="A659" s="257" t="n"/>
    </row>
    <row r="660">
      <c r="A660" s="263" t="n"/>
    </row>
    <row r="661">
      <c r="A661" s="264" t="n"/>
    </row>
    <row r="662">
      <c r="A662" s="259" t="n"/>
    </row>
    <row r="663">
      <c r="A663" s="258" t="n"/>
    </row>
    <row r="664">
      <c r="A664" s="257" t="n"/>
    </row>
    <row r="666">
      <c r="A666" s="263" t="n"/>
    </row>
    <row r="667">
      <c r="A667" s="264" t="n"/>
    </row>
    <row r="668">
      <c r="A668" s="259" t="n"/>
    </row>
    <row r="669">
      <c r="A669" s="258" t="n"/>
    </row>
    <row r="670">
      <c r="A670" s="257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3" t="n"/>
    </row>
    <row r="677">
      <c r="A677" s="264" t="n"/>
    </row>
    <row r="678">
      <c r="A678" s="259" t="n"/>
    </row>
    <row r="679">
      <c r="A679" s="258" t="n"/>
    </row>
    <row r="680">
      <c r="A680" s="257" t="n"/>
    </row>
    <row r="681">
      <c r="A681" s="263" t="n"/>
    </row>
    <row r="682">
      <c r="A682" s="264" t="n"/>
    </row>
    <row r="683">
      <c r="A683" s="259" t="n"/>
    </row>
    <row r="684">
      <c r="A684" s="258" t="n"/>
    </row>
    <row r="685">
      <c r="A685" s="257" t="n"/>
    </row>
  </sheetData>
  <dataValidations count="5">
    <dataValidation sqref="G14:H733 S14:S733" showDropDown="0" showInputMessage="1" showErrorMessage="1" allowBlank="1" type="list">
      <formula1>INDIRECT(F14)</formula1>
    </dataValidation>
    <dataValidation sqref="R14:R733" showDropDown="0" showInputMessage="1" showErrorMessage="1" allowBlank="1" type="list">
      <formula1>STATUS</formula1>
    </dataValidation>
    <dataValidation sqref="F14:F733" showDropDown="0" showInputMessage="1" showErrorMessage="1" allowBlank="1" type="list">
      <formula1>CASETYPE</formula1>
    </dataValidation>
    <dataValidation sqref="M1:M1048576" showDropDown="0" showInputMessage="1" showErrorMessage="1" allowBlank="1" prompt="PLEASE AT 11 DIGITS OR NOTHING!!" type="textLength">
      <formula1>11</formula1>
      <formula2>18</formula2>
    </dataValidation>
    <dataValidation sqref="I1 J2:J1048576" showDropDown="0" showInputMessage="1" showErrorMessage="1" allowBlank="1" prompt="PLEASE ENTER AT LEAST 11 DIGITS OR SKIP IT!!" type="textLength">
      <formula1>11</formula1>
      <formula2>18</formula2>
    </dataValidation>
  </dataValidations>
  <hyperlinks>
    <hyperlink ref="D1" location="'HOME PAGE'!A1" display="HOME"/>
    <hyperlink ref="E1" location="'HEARING LOG'!A1" display="HEARING LOG"/>
    <hyperlink ref="F1" location="'AUTO CAUSE LIST'!A1" display="AUTO CAUSE LIST"/>
    <hyperlink ref="G1" location="INSIGHTS!A1" display="INSIGHTS"/>
    <hyperlink ref="H1" location="'COUNSEL DIRECTORY'!A1" tooltip="COUNSEL DIRECTORY" display="'COUNSEL DIRECTORY'!A1"/>
    <hyperlink ref="I1" location="'QUARTER REPORT'!A1" tooltip="QUARTERLY REPORT" display="'QUARTER REPORT'!A1"/>
  </hyperlink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Q1068"/>
  <sheetViews>
    <sheetView showGridLines="0" zoomScale="82" zoomScaleNormal="82" workbookViewId="0">
      <selection activeCell="F1" sqref="F1"/>
    </sheetView>
  </sheetViews>
  <sheetFormatPr baseColWidth="8" defaultColWidth="9.14453125" defaultRowHeight="15"/>
  <cols>
    <col width="25.01953125" customWidth="1" style="136" min="1" max="1"/>
    <col width="8.609375" bestFit="1" customWidth="1" style="136" min="2" max="2"/>
    <col width="24.48046875" bestFit="1" customWidth="1" style="136" min="3" max="3"/>
    <col width="34.5703125" bestFit="1" customWidth="1" style="136" min="4" max="4"/>
    <col width="30.53515625" bestFit="1" customWidth="1" style="136" min="5" max="5"/>
    <col width="26.23046875" bestFit="1" customWidth="1" style="136" min="6" max="6"/>
    <col width="26.23046875" customWidth="1" style="136" min="7" max="7"/>
    <col width="30.66796875" bestFit="1" customWidth="1" style="136" min="8" max="8"/>
    <col width="28.78515625" bestFit="1" customWidth="1" style="293" min="9" max="9"/>
    <col width="21.5234375" bestFit="1" customWidth="1" style="136" min="10" max="10"/>
    <col width="34.30078125" bestFit="1" customWidth="1" style="136" min="11" max="11"/>
    <col width="21.65625" customWidth="1" style="136" min="12" max="12"/>
    <col width="36.72265625" bestFit="1" customWidth="1" style="293" min="13" max="13"/>
    <col width="29.86328125" customWidth="1" style="293" min="14" max="14"/>
    <col width="26.23046875" bestFit="1" customWidth="1" style="294" min="15" max="15"/>
    <col width="9.14453125" customWidth="1" style="136" min="16" max="16"/>
    <col width="9.14453125" customWidth="1" style="136" min="17" max="17"/>
    <col width="9.14453125" customWidth="1" style="136" min="18" max="16384"/>
  </cols>
  <sheetData>
    <row r="1">
      <c r="C1" s="186">
        <f>_xlfn.UNICHAR(127968) &amp;" HOME"</f>
        <v/>
      </c>
      <c r="D1" s="186">
        <f>_xlfn.UNICHAR(128257) &amp; " UPDATE CASE REGISTER"</f>
        <v/>
      </c>
      <c r="E1" s="32">
        <f>_xlfn.UNICHAR(128196) &amp; " AUTO CAUSE LIST"</f>
        <v/>
      </c>
      <c r="F1" s="186">
        <f>_xlfn.UNICHAR(128712) &amp; "  INSIGHTS"</f>
        <v/>
      </c>
      <c r="G1" s="211">
        <f>_xlfn.UNICHAR(128100)&amp; "  COUNSEL DIRECTORY"</f>
        <v/>
      </c>
      <c r="H1" s="295">
        <f>_xlfn.UNICHAR(9997) &amp; "     QUARTERLY REPORTS"</f>
        <v/>
      </c>
    </row>
    <row r="2" ht="15.75" customHeight="1" thickBot="1">
      <c r="B2" s="199" t="n"/>
      <c r="C2" s="199" t="n"/>
      <c r="D2" s="199" t="n"/>
      <c r="E2" s="199" t="n"/>
      <c r="F2" s="199" t="n"/>
      <c r="G2" s="199" t="n"/>
      <c r="H2" s="199" t="n"/>
      <c r="I2" s="200" t="n"/>
      <c r="J2" s="200" t="n"/>
      <c r="K2" s="200" t="n"/>
      <c r="L2" s="200" t="n"/>
      <c r="M2" s="296" t="n"/>
      <c r="N2" s="296" t="n"/>
      <c r="O2" s="200" t="n"/>
      <c r="P2" s="202" t="n"/>
    </row>
    <row r="3" ht="15.75" customHeight="1" thickBot="1">
      <c r="B3" s="199" t="n"/>
      <c r="C3" s="199" t="n"/>
      <c r="D3" s="199" t="n"/>
      <c r="E3" s="199" t="n"/>
      <c r="F3" s="199" t="n"/>
      <c r="G3" s="199" t="n"/>
      <c r="H3" s="199" t="n"/>
      <c r="I3" s="200" t="n"/>
      <c r="J3" s="200" t="n"/>
      <c r="K3" s="203" t="n"/>
      <c r="L3" s="200" t="n"/>
      <c r="M3" s="203" t="n"/>
      <c r="N3" s="203" t="n"/>
      <c r="O3" s="136" t="n"/>
      <c r="P3" s="202" t="n"/>
      <c r="Q3" s="204">
        <f t="array" ref="Q3">IFERROR(_xlfn._xlws.SORT(_xlfn.UNIQUE(UPPER(TRIM(_xlfn._xlws.FILTER(HCT6_CR[SUIT NUMBER],HCT6_CR[SUIT NUMBER]&lt;&gt;""))))),"")</f>
        <v/>
      </c>
    </row>
    <row r="4">
      <c r="B4" s="199" t="n"/>
      <c r="C4" s="199" t="n"/>
      <c r="D4" s="199" t="n"/>
      <c r="E4" s="199" t="n"/>
      <c r="F4" s="199" t="n"/>
      <c r="G4" s="199" t="n"/>
      <c r="H4" s="199" t="n"/>
      <c r="I4" s="203" t="n"/>
      <c r="J4" s="200" t="n"/>
      <c r="K4" s="200" t="n"/>
      <c r="L4" s="200" t="n"/>
      <c r="M4" s="296" t="n"/>
      <c r="N4" s="296" t="n"/>
      <c r="O4" s="203" t="n"/>
      <c r="P4" s="202" t="n"/>
    </row>
    <row r="5">
      <c r="B5" s="199" t="n"/>
      <c r="C5" s="199" t="n"/>
      <c r="D5" s="199" t="n"/>
      <c r="E5" s="199" t="n"/>
      <c r="F5" s="199" t="n"/>
      <c r="G5" s="199" t="n"/>
      <c r="H5" s="199" t="n"/>
      <c r="I5" s="200" t="n"/>
      <c r="J5" s="200" t="n"/>
      <c r="K5" s="200" t="n"/>
      <c r="L5" s="200" t="n"/>
      <c r="M5" s="203" t="n"/>
      <c r="N5" s="203" t="n"/>
      <c r="O5" s="203" t="n"/>
      <c r="P5" s="202" t="n"/>
    </row>
    <row r="6">
      <c r="B6" s="199" t="n"/>
      <c r="C6" s="199" t="n"/>
      <c r="D6" s="199" t="n"/>
      <c r="E6" s="199" t="n"/>
      <c r="F6" s="199" t="n"/>
      <c r="G6" s="199" t="n"/>
      <c r="H6" s="199" t="n"/>
      <c r="I6" s="200" t="n"/>
      <c r="J6" s="200" t="n"/>
      <c r="K6" s="200" t="n"/>
      <c r="L6" s="203" t="n"/>
      <c r="M6" s="136" t="n"/>
      <c r="N6" s="136" t="n"/>
      <c r="O6" s="203" t="n"/>
      <c r="P6" s="202" t="n"/>
    </row>
    <row r="7">
      <c r="B7" s="199" t="n"/>
      <c r="C7" s="199" t="n"/>
      <c r="D7" s="199" t="n"/>
      <c r="E7" s="199" t="n"/>
      <c r="F7" s="199" t="n"/>
      <c r="G7" s="199" t="n"/>
      <c r="H7" s="199" t="n"/>
      <c r="I7" s="200" t="n"/>
      <c r="J7" s="200" t="n"/>
      <c r="K7" s="203" t="n"/>
      <c r="L7" s="200" t="n"/>
      <c r="M7" s="203" t="n"/>
      <c r="N7" s="203" t="n"/>
      <c r="O7" s="136" t="n"/>
      <c r="P7" s="202" t="n"/>
    </row>
    <row r="8">
      <c r="B8" s="199" t="n"/>
      <c r="C8" s="199" t="n"/>
      <c r="D8" s="199" t="n"/>
      <c r="E8" s="199" t="n"/>
      <c r="F8" s="199" t="n"/>
      <c r="G8" s="199" t="n"/>
      <c r="H8" s="199" t="n"/>
      <c r="I8" s="205" t="n"/>
      <c r="J8" s="203" t="n"/>
      <c r="K8" s="205" t="n"/>
      <c r="L8" s="203" t="n"/>
      <c r="M8" s="136" t="n"/>
      <c r="N8" s="136" t="n"/>
      <c r="O8" s="203" t="n"/>
      <c r="P8" s="202" t="n"/>
    </row>
    <row r="9">
      <c r="B9" s="199" t="n"/>
      <c r="C9" s="199" t="n"/>
      <c r="D9" s="199" t="n"/>
      <c r="E9" s="199" t="n"/>
      <c r="F9" s="199" t="n"/>
      <c r="G9" s="199" t="n"/>
      <c r="H9" s="199" t="n"/>
      <c r="I9" s="203" t="n"/>
      <c r="J9" s="206" t="n"/>
      <c r="K9" s="203" t="n"/>
      <c r="L9" s="205" t="n"/>
      <c r="M9" s="203" t="n"/>
      <c r="N9" s="203" t="n"/>
      <c r="O9" s="203" t="n"/>
      <c r="P9" s="202" t="n"/>
    </row>
    <row r="10">
      <c r="B10" s="199" t="n"/>
      <c r="C10" s="199" t="n"/>
      <c r="D10" s="199" t="n"/>
      <c r="E10" s="199" t="n"/>
      <c r="F10" s="199" t="n"/>
      <c r="G10" s="199" t="n"/>
      <c r="H10" s="199" t="n"/>
      <c r="I10" s="207" t="n"/>
      <c r="J10" s="203" t="n"/>
      <c r="K10" s="208" t="n"/>
      <c r="L10" s="203" t="n"/>
      <c r="M10" s="136" t="n"/>
      <c r="N10" s="136" t="n"/>
      <c r="O10" s="203" t="n"/>
      <c r="P10" s="202" t="n"/>
    </row>
    <row r="11">
      <c r="B11" s="199" t="n"/>
      <c r="C11" s="199" t="n"/>
      <c r="D11" s="199" t="n"/>
      <c r="E11" s="199" t="n"/>
      <c r="F11" s="199" t="n"/>
      <c r="G11" s="199" t="n"/>
      <c r="H11" s="203" t="n"/>
      <c r="I11" s="203" t="n"/>
      <c r="J11" s="208" t="n"/>
      <c r="K11" s="203" t="n"/>
      <c r="L11" s="208" t="n"/>
      <c r="M11" s="203" t="n"/>
      <c r="N11" s="203" t="n"/>
      <c r="O11" s="136" t="n"/>
      <c r="P11" s="202" t="n"/>
    </row>
    <row r="12" ht="18.75" customHeight="1" thickBot="1">
      <c r="A12" s="212" t="n"/>
      <c r="B12" s="144" t="inlineStr">
        <is>
          <t>S/N</t>
        </is>
      </c>
      <c r="C12" s="144" t="inlineStr">
        <is>
          <t>SUIT NUMBER</t>
        </is>
      </c>
      <c r="D12" s="144" t="inlineStr">
        <is>
          <t>PARTIES</t>
        </is>
      </c>
      <c r="E12" s="144" t="inlineStr">
        <is>
          <t>CLAIMANT COUNSEL</t>
        </is>
      </c>
      <c r="F12" s="144" t="inlineStr">
        <is>
          <t>DEFENDANT COUNSEL</t>
        </is>
      </c>
      <c r="G12" s="144" t="inlineStr">
        <is>
          <t>CASE TYPE</t>
        </is>
      </c>
      <c r="H12" s="144" t="inlineStr">
        <is>
          <t>NATURE OF CLAIM/CRIME</t>
        </is>
      </c>
      <c r="I12" s="144" t="inlineStr">
        <is>
          <t>HEARING DATE</t>
        </is>
      </c>
      <c r="J12" s="144" t="inlineStr">
        <is>
          <t>PURPOSE</t>
        </is>
      </c>
      <c r="K12" s="144" t="inlineStr">
        <is>
          <t>OUTCOME</t>
        </is>
      </c>
      <c r="L12" s="144" t="inlineStr">
        <is>
          <t>NEXT ACTION</t>
        </is>
      </c>
      <c r="M12" s="297" t="inlineStr">
        <is>
          <t>NEXT DATE</t>
        </is>
      </c>
      <c r="N12" s="297" t="inlineStr">
        <is>
          <t>RULING</t>
        </is>
      </c>
      <c r="O12" s="144" t="inlineStr">
        <is>
          <t>DATE CONCLUDED</t>
        </is>
      </c>
      <c r="P12" s="202" t="n"/>
    </row>
    <row r="13" ht="19.5" customHeight="1" thickTop="1">
      <c r="A13" s="259" t="n"/>
      <c r="B13" s="256">
        <f t="array" ref="B13">IF(HCT6_HL[[#This Row],[SUIT NUMBER]]="","",ROW()-ROW(HCT6_HL[#Headers]))</f>
        <v/>
      </c>
      <c r="C13" s="98" t="n"/>
      <c r="D13" s="256">
        <f>UPPER(_xlfn.XLOOKUP(HCT6_HL[[#This Row],[SUIT NUMBER]],HCT6_CR[SUIT NUMBER],HCT6_CR[PARTIES],""))&amp;""</f>
        <v/>
      </c>
      <c r="E13" s="256">
        <f>UPPER(_xlfn.XLOOKUP(HCT6_HL[[#This Row],[SUIT NUMBER]],HCT6_CR[SUIT NUMBER],HCT6_CR[CLAIMANT COUNSEL],""))&amp;""</f>
        <v/>
      </c>
      <c r="F13" s="256">
        <f>UPPER(_xlfn.XLOOKUP(HCT6_HL[[#This Row],[SUIT NUMBER]],HCT6_CR[SUIT NUMBER],HCT6_CR[DEFENDANT COUNSEL],""))&amp;""</f>
        <v/>
      </c>
      <c r="G13" s="256">
        <f>UPPER(_xlfn.XLOOKUP(HCT6_HL[[#This Row],[SUIT NUMBER]],HCT6_CR[SUIT NUMBER],HCT6_CR[CASE TYPE],""))&amp;""</f>
        <v/>
      </c>
      <c r="H13" s="256">
        <f>UPPER(_xlfn.XLOOKUP(HCT6_HL[[#This Row],[SUIT NUMBER]],HCT6_CR[SUIT NUMBER],HCT6_CR[NATURE OF CLAIM],""))&amp;""</f>
        <v/>
      </c>
      <c r="I13" s="298" t="n"/>
      <c r="J13" s="98" t="n"/>
      <c r="K13" s="100" t="n"/>
      <c r="L13" s="98" t="n"/>
      <c r="M13" s="298" t="n"/>
      <c r="N13" s="299" t="n"/>
      <c r="O13" s="300" t="n"/>
      <c r="P13" s="202" t="n"/>
    </row>
    <row r="14" ht="18.75" customHeight="1">
      <c r="A14" s="258" t="n"/>
      <c r="B14" s="256">
        <f t="array" ref="B14">IF(HCT6_HL[[#This Row],[SUIT NUMBER]]="","",ROW()-ROW(HCT6_HL[#Headers]))</f>
        <v/>
      </c>
      <c r="C14" s="98" t="n"/>
      <c r="D14" s="256">
        <f t="array" ref="D14">_xlfn.XLOOKUP(HCT6_HL[[#This Row],[SUIT NUMBER]],HCT6_CR[SUIT NUMBER],UPPER(HCT6_CR[PARTIES]),"")&amp;""</f>
        <v/>
      </c>
      <c r="E14" s="256">
        <f t="array" ref="E14">_xlfn.XLOOKUP(HCT6_HL[[#This Row],[SUIT NUMBER]],HCT6_CR[SUIT NUMBER],UPPER(HCT6_CR[CLAIMANT COUNSEL]),"")&amp;""</f>
        <v/>
      </c>
      <c r="F14" s="256">
        <f t="array" ref="F14">_xlfn.XLOOKUP(HCT6_HL[[#This Row],[SUIT NUMBER]],HCT6_CR[SUIT NUMBER],UPPER(HCT6_CR[DEFENDANT COUNSEL]),"")&amp;""</f>
        <v/>
      </c>
      <c r="G14" s="256">
        <f t="array" ref="G14">_xlfn.XLOOKUP(HCT6_HL[[#This Row],[SUIT NUMBER]],HCT6_CR[SUIT NUMBER],UPPER(HCT6_CR[CASE TYPE]),"")&amp;""</f>
        <v/>
      </c>
      <c r="H14" s="256">
        <f t="array" ref="H14">_xlfn.XLOOKUP(HCT6_HL[[#This Row],[SUIT NUMBER]],HCT6_CR[SUIT NUMBER],UPPER(HCT6_CR[NATURE OF CLAIM]),"")&amp;""</f>
        <v/>
      </c>
      <c r="I14" s="298" t="n"/>
      <c r="J14" s="98" t="n"/>
      <c r="K14" s="100" t="n"/>
      <c r="L14" s="98" t="n"/>
      <c r="M14" s="298" t="n"/>
      <c r="N14" s="298" t="n"/>
      <c r="O14" s="300" t="n"/>
      <c r="P14" s="202" t="n"/>
    </row>
    <row r="15" ht="18.75" customHeight="1">
      <c r="A15" s="257" t="n"/>
      <c r="B15" s="256">
        <f t="array" ref="B15">IF(HCT6_HL[[#This Row],[SUIT NUMBER]]="","",ROW()-ROW(HCT6_HL[#Headers]))</f>
        <v/>
      </c>
      <c r="C15" s="210" t="n"/>
      <c r="D15" s="256">
        <f t="array" ref="D15">_xlfn.XLOOKUP(HCT6_HL[[#This Row],[SUIT NUMBER]],HCT6_CR[SUIT NUMBER],UPPER(HCT6_CR[PARTIES]),"")&amp;""</f>
        <v/>
      </c>
      <c r="E15" s="256">
        <f t="array" ref="E15">_xlfn.XLOOKUP(HCT6_HL[[#This Row],[SUIT NUMBER]],HCT6_CR[SUIT NUMBER],UPPER(HCT6_CR[CLAIMANT COUNSEL]),"")&amp;""</f>
        <v/>
      </c>
      <c r="F15" s="256">
        <f t="array" ref="F15">_xlfn.XLOOKUP(HCT6_HL[[#This Row],[SUIT NUMBER]],HCT6_CR[SUIT NUMBER],UPPER(HCT6_CR[DEFENDANT COUNSEL]),"")&amp;""</f>
        <v/>
      </c>
      <c r="G15" s="256">
        <f t="array" ref="G15">_xlfn.XLOOKUP(HCT6_HL[[#This Row],[SUIT NUMBER]],HCT6_CR[SUIT NUMBER],UPPER(HCT6_CR[CASE TYPE]),"")&amp;""</f>
        <v/>
      </c>
      <c r="H15" s="256">
        <f t="array" ref="H15">_xlfn.XLOOKUP(HCT6_HL[[#This Row],[SUIT NUMBER]],HCT6_CR[SUIT NUMBER],UPPER(HCT6_CR[NATURE OF CLAIM]),"")&amp;""</f>
        <v/>
      </c>
      <c r="I15" s="298" t="n"/>
      <c r="J15" s="98" t="n"/>
      <c r="K15" s="100" t="n"/>
      <c r="L15" s="98" t="n"/>
      <c r="M15" s="298" t="n"/>
      <c r="N15" s="298" t="n"/>
      <c r="O15" s="300" t="n"/>
      <c r="P15" s="202" t="n"/>
    </row>
    <row r="16" ht="18.75" customHeight="1">
      <c r="A16" s="262" t="n"/>
      <c r="B16" s="256">
        <f t="array" ref="B16">IF(HCT6_HL[[#This Row],[SUIT NUMBER]]="","",ROW()-ROW(HCT6_HL[#Headers]))</f>
        <v/>
      </c>
      <c r="C16" s="98" t="n"/>
      <c r="D16" s="256">
        <f t="array" ref="D16">_xlfn.XLOOKUP(HCT6_HL[[#This Row],[SUIT NUMBER]],HCT6_CR[SUIT NUMBER],UPPER(HCT6_CR[PARTIES]),"")&amp;""</f>
        <v/>
      </c>
      <c r="E16" s="256">
        <f t="array" ref="E16">_xlfn.XLOOKUP(HCT6_HL[[#This Row],[SUIT NUMBER]],HCT6_CR[SUIT NUMBER],UPPER(HCT6_CR[CLAIMANT COUNSEL]),"")&amp;""</f>
        <v/>
      </c>
      <c r="F16" s="256">
        <f t="array" ref="F16">_xlfn.XLOOKUP(HCT6_HL[[#This Row],[SUIT NUMBER]],HCT6_CR[SUIT NUMBER],UPPER(HCT6_CR[DEFENDANT COUNSEL]),"")&amp;""</f>
        <v/>
      </c>
      <c r="G16" s="256">
        <f t="array" ref="G16">_xlfn.XLOOKUP(HCT6_HL[[#This Row],[SUIT NUMBER]],HCT6_CR[SUIT NUMBER],UPPER(HCT6_CR[CASE TYPE]),"")&amp;""</f>
        <v/>
      </c>
      <c r="H16" s="256">
        <f t="array" ref="H16">_xlfn.XLOOKUP(HCT6_HL[[#This Row],[SUIT NUMBER]],HCT6_CR[SUIT NUMBER],UPPER(HCT6_CR[NATURE OF CLAIM]),"")&amp;""</f>
        <v/>
      </c>
      <c r="I16" s="298" t="n"/>
      <c r="J16" s="98" t="n"/>
      <c r="K16" s="100" t="n"/>
      <c r="L16" s="98" t="n"/>
      <c r="M16" s="298" t="n"/>
      <c r="N16" s="298" t="n"/>
      <c r="O16" s="300" t="n"/>
      <c r="P16" s="202" t="n"/>
    </row>
    <row r="17" ht="18.75" customHeight="1">
      <c r="A17" s="261" t="n"/>
      <c r="B17" s="256">
        <f t="array" ref="B17">IF(HCT6_HL[[#This Row],[SUIT NUMBER]]="","",ROW()-ROW(HCT6_HL[#Headers]))</f>
        <v/>
      </c>
      <c r="C17" s="98" t="n"/>
      <c r="D17" s="256">
        <f t="array" ref="D17">_xlfn.XLOOKUP(HCT6_HL[[#This Row],[SUIT NUMBER]],HCT6_CR[SUIT NUMBER],UPPER(HCT6_CR[PARTIES]),"")&amp;""</f>
        <v/>
      </c>
      <c r="E17" s="256">
        <f t="array" ref="E17">_xlfn.XLOOKUP(HCT6_HL[[#This Row],[SUIT NUMBER]],HCT6_CR[SUIT NUMBER],UPPER(HCT6_CR[CLAIMANT COUNSEL]),"")&amp;""</f>
        <v/>
      </c>
      <c r="F17" s="256">
        <f t="array" ref="F17">_xlfn.XLOOKUP(HCT6_HL[[#This Row],[SUIT NUMBER]],HCT6_CR[SUIT NUMBER],UPPER(HCT6_CR[DEFENDANT COUNSEL]),"")&amp;""</f>
        <v/>
      </c>
      <c r="G17" s="256">
        <f t="array" ref="G17">_xlfn.XLOOKUP(HCT6_HL[[#This Row],[SUIT NUMBER]],HCT6_CR[SUIT NUMBER],UPPER(HCT6_CR[CASE TYPE]),"")&amp;""</f>
        <v/>
      </c>
      <c r="H17" s="256">
        <f t="array" ref="H17">_xlfn.XLOOKUP(HCT6_HL[[#This Row],[SUIT NUMBER]],HCT6_CR[SUIT NUMBER],UPPER(HCT6_CR[NATURE OF CLAIM]),"")&amp;""</f>
        <v/>
      </c>
      <c r="I17" s="298" t="n"/>
      <c r="J17" s="98" t="n"/>
      <c r="K17" s="100" t="n"/>
      <c r="L17" s="98" t="n"/>
      <c r="M17" s="298" t="n"/>
      <c r="N17" s="298" t="n"/>
      <c r="O17" s="300" t="n"/>
    </row>
    <row r="18" ht="18.75" customHeight="1">
      <c r="A18" s="260" t="n"/>
      <c r="B18" s="256">
        <f t="array" ref="B18">IF(HCT6_HL[[#This Row],[SUIT NUMBER]]="","",ROW()-ROW(HCT6_HL[#Headers]))</f>
        <v/>
      </c>
      <c r="C18" s="98" t="n"/>
      <c r="D18" s="256">
        <f t="array" ref="D18">_xlfn.XLOOKUP(HCT6_HL[[#This Row],[SUIT NUMBER]],HCT6_CR[SUIT NUMBER],UPPER(HCT6_CR[PARTIES]),"")&amp;""</f>
        <v/>
      </c>
      <c r="E18" s="256">
        <f t="array" ref="E18">_xlfn.XLOOKUP(HCT6_HL[[#This Row],[SUIT NUMBER]],HCT6_CR[SUIT NUMBER],UPPER(HCT6_CR[CLAIMANT COUNSEL]),"")&amp;""</f>
        <v/>
      </c>
      <c r="F18" s="256">
        <f t="array" ref="F18">_xlfn.XLOOKUP(HCT6_HL[[#This Row],[SUIT NUMBER]],HCT6_CR[SUIT NUMBER],UPPER(HCT6_CR[DEFENDANT COUNSEL]),"")&amp;""</f>
        <v/>
      </c>
      <c r="G18" s="256">
        <f t="array" ref="G18">_xlfn.XLOOKUP(HCT6_HL[[#This Row],[SUIT NUMBER]],HCT6_CR[SUIT NUMBER],UPPER(HCT6_CR[CASE TYPE]),"")&amp;""</f>
        <v/>
      </c>
      <c r="H18" s="256">
        <f t="array" ref="H18">_xlfn.XLOOKUP(HCT6_HL[[#This Row],[SUIT NUMBER]],HCT6_CR[SUIT NUMBER],UPPER(HCT6_CR[NATURE OF CLAIM]),"")&amp;""</f>
        <v/>
      </c>
      <c r="I18" s="298" t="n"/>
      <c r="J18" s="98" t="n"/>
      <c r="K18" s="100" t="n"/>
      <c r="L18" s="98" t="n"/>
      <c r="M18" s="298" t="n"/>
      <c r="N18" s="298" t="n"/>
      <c r="O18" s="300" t="n"/>
    </row>
    <row r="19" ht="18.75" customHeight="1">
      <c r="A19" s="263" t="n"/>
      <c r="B19" s="256">
        <f t="array" ref="B19">IF(HCT6_HL[[#This Row],[SUIT NUMBER]]="","",ROW()-ROW(HCT6_HL[#Headers]))</f>
        <v/>
      </c>
      <c r="C19" s="98" t="n"/>
      <c r="D19" s="256">
        <f t="array" ref="D19">_xlfn.XLOOKUP(HCT6_HL[[#This Row],[SUIT NUMBER]],HCT6_CR[SUIT NUMBER],UPPER(HCT6_CR[PARTIES]),"")&amp;""</f>
        <v/>
      </c>
      <c r="E19" s="256">
        <f t="array" ref="E19">_xlfn.XLOOKUP(HCT6_HL[[#This Row],[SUIT NUMBER]],HCT6_CR[SUIT NUMBER],UPPER(HCT6_CR[CLAIMANT COUNSEL]),"")&amp;""</f>
        <v/>
      </c>
      <c r="F19" s="256">
        <f t="array" ref="F19">_xlfn.XLOOKUP(HCT6_HL[[#This Row],[SUIT NUMBER]],HCT6_CR[SUIT NUMBER],UPPER(HCT6_CR[DEFENDANT COUNSEL]),"")&amp;""</f>
        <v/>
      </c>
      <c r="G19" s="256">
        <f t="array" ref="G19">_xlfn.XLOOKUP(HCT6_HL[[#This Row],[SUIT NUMBER]],HCT6_CR[SUIT NUMBER],UPPER(HCT6_CR[CASE TYPE]),"")&amp;""</f>
        <v/>
      </c>
      <c r="H19" s="256">
        <f t="array" ref="H19">_xlfn.XLOOKUP(HCT6_HL[[#This Row],[SUIT NUMBER]],HCT6_CR[SUIT NUMBER],UPPER(HCT6_CR[NATURE OF CLAIM]),"")&amp;""</f>
        <v/>
      </c>
      <c r="I19" s="298" t="n"/>
      <c r="J19" s="98" t="n"/>
      <c r="K19" s="100" t="n"/>
      <c r="L19" s="98" t="n"/>
      <c r="M19" s="298" t="n"/>
      <c r="N19" s="298" t="n"/>
      <c r="O19" s="300" t="n"/>
    </row>
    <row r="20">
      <c r="A20" s="264" t="n"/>
    </row>
    <row r="21">
      <c r="A21" s="259" t="n"/>
    </row>
    <row r="22">
      <c r="A22" s="258" t="n"/>
    </row>
    <row r="23">
      <c r="A23" s="257" t="n"/>
    </row>
    <row r="24">
      <c r="A24" s="262" t="n"/>
    </row>
    <row r="25">
      <c r="A25" s="261" t="n"/>
    </row>
    <row r="26">
      <c r="A26" s="260" t="n"/>
    </row>
    <row r="27">
      <c r="A27" s="263" t="n"/>
    </row>
    <row r="28">
      <c r="A28" s="264" t="n"/>
    </row>
    <row r="30">
      <c r="A30" s="259" t="n"/>
    </row>
    <row r="31">
      <c r="A31" s="258" t="n"/>
    </row>
    <row r="32">
      <c r="A32" s="257" t="n"/>
    </row>
    <row r="33">
      <c r="A33" s="262" t="n"/>
    </row>
    <row r="34">
      <c r="A34" s="261" t="n"/>
    </row>
    <row r="35">
      <c r="A35" s="260" t="n"/>
    </row>
    <row r="36">
      <c r="A36" s="263" t="n"/>
    </row>
    <row r="37">
      <c r="A37" s="264" t="n"/>
    </row>
    <row r="38">
      <c r="A38" s="259" t="n"/>
    </row>
    <row r="39">
      <c r="A39" s="258" t="n"/>
    </row>
    <row r="40">
      <c r="A40" s="257" t="n"/>
    </row>
    <row r="41">
      <c r="A41" s="262" t="n"/>
    </row>
    <row r="42">
      <c r="A42" s="261" t="n"/>
    </row>
    <row r="43">
      <c r="A43" s="260" t="n"/>
    </row>
    <row r="44">
      <c r="A44" s="263" t="n"/>
    </row>
    <row r="45">
      <c r="A45" s="264" t="n"/>
    </row>
    <row r="46">
      <c r="A46" s="259" t="n"/>
    </row>
    <row r="47">
      <c r="A47" s="258" t="n"/>
    </row>
    <row r="48">
      <c r="A48" s="257" t="n"/>
    </row>
    <row r="49">
      <c r="A49" s="262" t="n"/>
    </row>
    <row r="50">
      <c r="A50" s="261" t="n"/>
    </row>
    <row r="51">
      <c r="A51" s="260" t="n"/>
    </row>
    <row r="52">
      <c r="A52" s="263" t="n"/>
    </row>
    <row r="53">
      <c r="A53" s="264" t="n"/>
    </row>
    <row r="54">
      <c r="A54" s="259" t="n"/>
    </row>
    <row r="55">
      <c r="A55" s="258" t="n"/>
    </row>
    <row r="56">
      <c r="A56" s="257" t="n"/>
    </row>
    <row r="57">
      <c r="A57" s="262" t="n"/>
    </row>
    <row r="58">
      <c r="A58" s="261" t="n"/>
    </row>
    <row r="59">
      <c r="A59" s="260" t="n"/>
    </row>
    <row r="60">
      <c r="A60" s="263" t="n"/>
    </row>
    <row r="61">
      <c r="A61" s="264" t="n"/>
    </row>
    <row r="63">
      <c r="A63" s="259" t="n"/>
    </row>
    <row r="64">
      <c r="A64" s="258" t="n"/>
    </row>
    <row r="65">
      <c r="A65" s="257" t="n"/>
    </row>
    <row r="66">
      <c r="A66" s="262" t="n"/>
    </row>
    <row r="67">
      <c r="A67" s="261" t="n"/>
    </row>
    <row r="68">
      <c r="A68" s="260" t="n"/>
    </row>
    <row r="69">
      <c r="A69" s="263" t="n"/>
    </row>
    <row r="70">
      <c r="A70" s="264" t="n"/>
    </row>
    <row r="71">
      <c r="A71" s="259" t="n"/>
    </row>
    <row r="72">
      <c r="A72" s="258" t="n"/>
    </row>
    <row r="73">
      <c r="A73" s="257" t="n"/>
    </row>
    <row r="74">
      <c r="A74" s="262" t="n"/>
    </row>
    <row r="75">
      <c r="A75" s="261" t="n"/>
    </row>
    <row r="76">
      <c r="A76" s="260" t="n"/>
    </row>
    <row r="77">
      <c r="A77" s="263" t="n"/>
    </row>
    <row r="78">
      <c r="A78" s="264" t="n"/>
    </row>
    <row r="79">
      <c r="A79" s="259" t="n"/>
    </row>
    <row r="80">
      <c r="A80" s="258" t="n"/>
    </row>
    <row r="81">
      <c r="A81" s="257" t="n"/>
    </row>
    <row r="82">
      <c r="A82" s="262" t="n"/>
    </row>
    <row r="83">
      <c r="A83" s="261" t="n"/>
    </row>
    <row r="84">
      <c r="A84" s="260" t="n"/>
    </row>
    <row r="85">
      <c r="A85" s="263" t="n"/>
    </row>
    <row r="86">
      <c r="A86" s="264" t="n"/>
    </row>
    <row r="87">
      <c r="A87" s="259" t="n"/>
    </row>
    <row r="88">
      <c r="A88" s="258" t="n"/>
    </row>
    <row r="89">
      <c r="A89" s="257" t="n"/>
    </row>
    <row r="90">
      <c r="A90" s="262" t="n"/>
    </row>
    <row r="91">
      <c r="A91" s="261" t="n"/>
    </row>
    <row r="92">
      <c r="A92" s="260" t="n"/>
    </row>
    <row r="93">
      <c r="A93" s="263" t="n"/>
    </row>
    <row r="94">
      <c r="A94" s="264" t="n"/>
    </row>
    <row r="96">
      <c r="A96" s="259" t="n"/>
    </row>
    <row r="97">
      <c r="A97" s="258" t="n"/>
    </row>
    <row r="98">
      <c r="A98" s="257" t="n"/>
    </row>
    <row r="99">
      <c r="A99" s="262" t="n"/>
    </row>
    <row r="100">
      <c r="A100" s="261" t="n"/>
    </row>
    <row r="101">
      <c r="A101" s="260" t="n"/>
    </row>
    <row r="102">
      <c r="A102" s="263" t="n"/>
    </row>
    <row r="103">
      <c r="A103" s="264" t="n"/>
    </row>
    <row r="104">
      <c r="A104" s="259" t="n"/>
    </row>
    <row r="105">
      <c r="A105" s="258" t="n"/>
    </row>
    <row r="106">
      <c r="A106" s="257" t="n"/>
    </row>
    <row r="107">
      <c r="A107" s="262" t="n"/>
    </row>
    <row r="108">
      <c r="A108" s="261" t="n"/>
    </row>
    <row r="109">
      <c r="A109" s="260" t="n"/>
    </row>
    <row r="110">
      <c r="A110" s="263" t="n"/>
    </row>
    <row r="111">
      <c r="A111" s="264" t="n"/>
    </row>
    <row r="112">
      <c r="A112" s="259" t="n"/>
    </row>
    <row r="113">
      <c r="A113" s="258" t="n"/>
    </row>
    <row r="114">
      <c r="A114" s="257" t="n"/>
    </row>
    <row r="115">
      <c r="A115" s="262" t="n"/>
    </row>
    <row r="116">
      <c r="A116" s="261" t="n"/>
    </row>
    <row r="117">
      <c r="A117" s="260" t="n"/>
    </row>
    <row r="118">
      <c r="A118" s="263" t="n"/>
    </row>
    <row r="119">
      <c r="A119" s="264" t="n"/>
    </row>
    <row r="120">
      <c r="A120" s="259" t="n"/>
    </row>
    <row r="121">
      <c r="A121" s="258" t="n"/>
    </row>
    <row r="122">
      <c r="A122" s="257" t="n"/>
    </row>
    <row r="123">
      <c r="A123" s="262" t="n"/>
    </row>
    <row r="124">
      <c r="A124" s="261" t="n"/>
    </row>
    <row r="125">
      <c r="A125" s="260" t="n"/>
    </row>
    <row r="126">
      <c r="A126" s="263" t="n"/>
    </row>
    <row r="127">
      <c r="A127" s="264" t="n"/>
    </row>
    <row r="129">
      <c r="A129" s="259" t="n"/>
    </row>
    <row r="130">
      <c r="A130" s="258" t="n"/>
    </row>
    <row r="131">
      <c r="A131" s="257" t="n"/>
    </row>
    <row r="132">
      <c r="A132" s="262" t="n"/>
    </row>
    <row r="133">
      <c r="A133" s="261" t="n"/>
    </row>
    <row r="134">
      <c r="A134" s="260" t="n"/>
    </row>
    <row r="135">
      <c r="A135" s="263" t="n"/>
    </row>
    <row r="136">
      <c r="A136" s="264" t="n"/>
    </row>
    <row r="137">
      <c r="A137" s="259" t="n"/>
    </row>
    <row r="138">
      <c r="A138" s="258" t="n"/>
    </row>
    <row r="139">
      <c r="A139" s="257" t="n"/>
    </row>
    <row r="140">
      <c r="A140" s="262" t="n"/>
    </row>
    <row r="141">
      <c r="A141" s="261" t="n"/>
    </row>
    <row r="142">
      <c r="A142" s="260" t="n"/>
    </row>
    <row r="143">
      <c r="A143" s="263" t="n"/>
    </row>
    <row r="144">
      <c r="A144" s="264" t="n"/>
    </row>
    <row r="145">
      <c r="A145" s="259" t="n"/>
    </row>
    <row r="146">
      <c r="A146" s="258" t="n"/>
    </row>
    <row r="147">
      <c r="A147" s="257" t="n"/>
    </row>
    <row r="148">
      <c r="A148" s="262" t="n"/>
    </row>
    <row r="149">
      <c r="A149" s="261" t="n"/>
    </row>
    <row r="150">
      <c r="A150" s="260" t="n"/>
    </row>
    <row r="151">
      <c r="A151" s="263" t="n"/>
    </row>
    <row r="152">
      <c r="A152" s="264" t="n"/>
    </row>
    <row r="153">
      <c r="A153" s="259" t="n"/>
    </row>
    <row r="154">
      <c r="A154" s="258" t="n"/>
    </row>
    <row r="155">
      <c r="A155" s="257" t="n"/>
    </row>
    <row r="156">
      <c r="A156" s="262" t="n"/>
    </row>
    <row r="157">
      <c r="A157" s="261" t="n"/>
    </row>
    <row r="158">
      <c r="A158" s="260" t="n"/>
    </row>
    <row r="159">
      <c r="A159" s="263" t="n"/>
    </row>
    <row r="160">
      <c r="A160" s="264" t="n"/>
    </row>
    <row r="162">
      <c r="A162" s="259" t="n"/>
    </row>
    <row r="163">
      <c r="A163" s="258" t="n"/>
    </row>
    <row r="164">
      <c r="A164" s="257" t="n"/>
    </row>
    <row r="165">
      <c r="A165" s="262" t="n"/>
    </row>
    <row r="166">
      <c r="A166" s="261" t="n"/>
    </row>
    <row r="167">
      <c r="A167" s="260" t="n"/>
    </row>
    <row r="168">
      <c r="A168" s="263" t="n"/>
    </row>
    <row r="169">
      <c r="A169" s="264" t="n"/>
    </row>
    <row r="170">
      <c r="A170" s="259" t="n"/>
    </row>
    <row r="171">
      <c r="A171" s="258" t="n"/>
    </row>
    <row r="172">
      <c r="A172" s="257" t="n"/>
    </row>
    <row r="173">
      <c r="A173" s="262" t="n"/>
    </row>
    <row r="174">
      <c r="A174" s="261" t="n"/>
    </row>
    <row r="175">
      <c r="A175" s="260" t="n"/>
    </row>
    <row r="176">
      <c r="A176" s="263" t="n"/>
    </row>
    <row r="177">
      <c r="A177" s="264" t="n"/>
    </row>
    <row r="178">
      <c r="A178" s="259" t="n"/>
    </row>
    <row r="179">
      <c r="A179" s="258" t="n"/>
    </row>
    <row r="180">
      <c r="A180" s="257" t="n"/>
    </row>
    <row r="181">
      <c r="A181" s="262" t="n"/>
    </row>
    <row r="182">
      <c r="A182" s="261" t="n"/>
    </row>
    <row r="183">
      <c r="A183" s="260" t="n"/>
    </row>
    <row r="184">
      <c r="A184" s="263" t="n"/>
    </row>
    <row r="185">
      <c r="A185" s="264" t="n"/>
    </row>
    <row r="186">
      <c r="A186" s="259" t="n"/>
    </row>
    <row r="187">
      <c r="A187" s="258" t="n"/>
    </row>
    <row r="188">
      <c r="A188" s="257" t="n"/>
    </row>
    <row r="189">
      <c r="A189" s="262" t="n"/>
    </row>
    <row r="190">
      <c r="A190" s="261" t="n"/>
    </row>
    <row r="191">
      <c r="A191" s="260" t="n"/>
    </row>
    <row r="192">
      <c r="A192" s="263" t="n"/>
    </row>
    <row r="193">
      <c r="A193" s="264" t="n"/>
    </row>
    <row r="195">
      <c r="A195" s="259" t="n"/>
    </row>
    <row r="196">
      <c r="A196" s="258" t="n"/>
    </row>
    <row r="197">
      <c r="A197" s="257" t="n"/>
    </row>
    <row r="198">
      <c r="A198" s="262" t="n"/>
    </row>
    <row r="199">
      <c r="A199" s="261" t="n"/>
    </row>
    <row r="200">
      <c r="A200" s="260" t="n"/>
    </row>
    <row r="201">
      <c r="A201" s="263" t="n"/>
    </row>
    <row r="202">
      <c r="A202" s="264" t="n"/>
    </row>
    <row r="203">
      <c r="A203" s="259" t="n"/>
    </row>
    <row r="204">
      <c r="A204" s="258" t="n"/>
    </row>
    <row r="205">
      <c r="A205" s="257" t="n"/>
    </row>
    <row r="206">
      <c r="A206" s="262" t="n"/>
    </row>
    <row r="207">
      <c r="A207" s="261" t="n"/>
    </row>
    <row r="208">
      <c r="A208" s="260" t="n"/>
    </row>
    <row r="209">
      <c r="A209" s="263" t="n"/>
    </row>
    <row r="210">
      <c r="A210" s="264" t="n"/>
    </row>
    <row r="211">
      <c r="A211" s="259" t="n"/>
    </row>
    <row r="212">
      <c r="A212" s="258" t="n"/>
    </row>
    <row r="213">
      <c r="A213" s="257" t="n"/>
    </row>
    <row r="214">
      <c r="A214" s="262" t="n"/>
    </row>
    <row r="215">
      <c r="A215" s="261" t="n"/>
    </row>
    <row r="216">
      <c r="A216" s="260" t="n"/>
    </row>
    <row r="217">
      <c r="A217" s="263" t="n"/>
    </row>
    <row r="218">
      <c r="A218" s="264" t="n"/>
    </row>
    <row r="219">
      <c r="A219" s="259" t="n"/>
    </row>
    <row r="220">
      <c r="A220" s="258" t="n"/>
    </row>
    <row r="221">
      <c r="A221" s="257" t="n"/>
    </row>
    <row r="222">
      <c r="A222" s="262" t="n"/>
    </row>
    <row r="223">
      <c r="A223" s="261" t="n"/>
    </row>
    <row r="224">
      <c r="A224" s="260" t="n"/>
    </row>
    <row r="225">
      <c r="A225" s="263" t="n"/>
    </row>
    <row r="226">
      <c r="A226" s="264" t="n"/>
    </row>
    <row r="228">
      <c r="A228" s="259" t="n"/>
    </row>
    <row r="229">
      <c r="A229" s="258" t="n"/>
    </row>
    <row r="230">
      <c r="A230" s="257" t="n"/>
    </row>
    <row r="231">
      <c r="A231" s="262" t="n"/>
    </row>
    <row r="232">
      <c r="A232" s="261" t="n"/>
    </row>
    <row r="233">
      <c r="A233" s="260" t="n"/>
    </row>
    <row r="234">
      <c r="A234" s="263" t="n"/>
    </row>
    <row r="235">
      <c r="A235" s="264" t="n"/>
    </row>
    <row r="236">
      <c r="A236" s="259" t="n"/>
    </row>
    <row r="237">
      <c r="A237" s="258" t="n"/>
    </row>
    <row r="238">
      <c r="A238" s="257" t="n"/>
    </row>
    <row r="239">
      <c r="A239" s="262" t="n"/>
    </row>
    <row r="240">
      <c r="A240" s="261" t="n"/>
    </row>
    <row r="241">
      <c r="A241" s="260" t="n"/>
    </row>
    <row r="242">
      <c r="A242" s="263" t="n"/>
    </row>
    <row r="243">
      <c r="A243" s="264" t="n"/>
    </row>
    <row r="244">
      <c r="A244" s="259" t="n"/>
    </row>
    <row r="245">
      <c r="A245" s="258" t="n"/>
    </row>
    <row r="246">
      <c r="A246" s="257" t="n"/>
    </row>
    <row r="247">
      <c r="A247" s="262" t="n"/>
    </row>
    <row r="248">
      <c r="A248" s="261" t="n"/>
    </row>
    <row r="249">
      <c r="A249" s="260" t="n"/>
    </row>
    <row r="250">
      <c r="A250" s="263" t="n"/>
    </row>
    <row r="251">
      <c r="A251" s="264" t="n"/>
    </row>
    <row r="252">
      <c r="A252" s="259" t="n"/>
    </row>
    <row r="253">
      <c r="A253" s="258" t="n"/>
    </row>
    <row r="254">
      <c r="A254" s="257" t="n"/>
    </row>
    <row r="255">
      <c r="A255" s="262" t="n"/>
    </row>
    <row r="256">
      <c r="A256" s="261" t="n"/>
    </row>
    <row r="257">
      <c r="A257" s="260" t="n"/>
    </row>
    <row r="258">
      <c r="A258" s="263" t="n"/>
    </row>
    <row r="259">
      <c r="A259" s="264" t="n"/>
    </row>
    <row r="261">
      <c r="A261" s="259" t="n"/>
    </row>
    <row r="262">
      <c r="A262" s="258" t="n"/>
    </row>
    <row r="263">
      <c r="A263" s="257" t="n"/>
    </row>
    <row r="264">
      <c r="A264" s="262" t="n"/>
    </row>
    <row r="265">
      <c r="A265" s="261" t="n"/>
    </row>
    <row r="266">
      <c r="A266" s="260" t="n"/>
    </row>
    <row r="267">
      <c r="A267" s="263" t="n"/>
    </row>
    <row r="268">
      <c r="A268" s="264" t="n"/>
    </row>
    <row r="269">
      <c r="A269" s="259" t="n"/>
    </row>
    <row r="270">
      <c r="A270" s="258" t="n"/>
    </row>
    <row r="271">
      <c r="A271" s="257" t="n"/>
    </row>
    <row r="272">
      <c r="A272" s="262" t="n"/>
    </row>
    <row r="273">
      <c r="A273" s="261" t="n"/>
    </row>
    <row r="274">
      <c r="A274" s="260" t="n"/>
    </row>
    <row r="275">
      <c r="A275" s="263" t="n"/>
    </row>
    <row r="276">
      <c r="A276" s="264" t="n"/>
    </row>
    <row r="277">
      <c r="A277" s="259" t="n"/>
    </row>
    <row r="278">
      <c r="A278" s="258" t="n"/>
    </row>
    <row r="279">
      <c r="A279" s="257" t="n"/>
    </row>
    <row r="280">
      <c r="A280" s="262" t="n"/>
    </row>
    <row r="281">
      <c r="A281" s="261" t="n"/>
    </row>
    <row r="282">
      <c r="A282" s="260" t="n"/>
    </row>
    <row r="283">
      <c r="A283" s="263" t="n"/>
    </row>
    <row r="284">
      <c r="A284" s="264" t="n"/>
    </row>
    <row r="285">
      <c r="A285" s="259" t="n"/>
    </row>
    <row r="286">
      <c r="A286" s="258" t="n"/>
    </row>
    <row r="287">
      <c r="A287" s="257" t="n"/>
    </row>
    <row r="288">
      <c r="A288" s="262" t="n"/>
    </row>
    <row r="289">
      <c r="A289" s="261" t="n"/>
    </row>
    <row r="290">
      <c r="A290" s="260" t="n"/>
    </row>
    <row r="291">
      <c r="A291" s="263" t="n"/>
    </row>
    <row r="292">
      <c r="A292" s="264" t="n"/>
    </row>
    <row r="294">
      <c r="A294" s="259" t="n"/>
    </row>
    <row r="295">
      <c r="A295" s="258" t="n"/>
    </row>
    <row r="296">
      <c r="A296" s="257" t="n"/>
    </row>
    <row r="297">
      <c r="A297" s="262" t="n"/>
    </row>
    <row r="298">
      <c r="A298" s="261" t="n"/>
    </row>
    <row r="299">
      <c r="A299" s="260" t="n"/>
    </row>
    <row r="300">
      <c r="A300" s="263" t="n"/>
    </row>
    <row r="301">
      <c r="A301" s="264" t="n"/>
    </row>
    <row r="302">
      <c r="A302" s="259" t="n"/>
    </row>
    <row r="303">
      <c r="A303" s="258" t="n"/>
    </row>
    <row r="304">
      <c r="A304" s="257" t="n"/>
    </row>
    <row r="305">
      <c r="A305" s="262" t="n"/>
    </row>
    <row r="306">
      <c r="A306" s="261" t="n"/>
    </row>
    <row r="307">
      <c r="A307" s="260" t="n"/>
    </row>
    <row r="308">
      <c r="A308" s="263" t="n"/>
    </row>
    <row r="309">
      <c r="A309" s="264" t="n"/>
    </row>
    <row r="310">
      <c r="A310" s="259" t="n"/>
    </row>
    <row r="311">
      <c r="A311" s="258" t="n"/>
    </row>
    <row r="312">
      <c r="A312" s="257" t="n"/>
    </row>
    <row r="313">
      <c r="A313" s="262" t="n"/>
    </row>
    <row r="314">
      <c r="A314" s="261" t="n"/>
    </row>
    <row r="315">
      <c r="A315" s="260" t="n"/>
    </row>
    <row r="316">
      <c r="A316" s="263" t="n"/>
    </row>
    <row r="317">
      <c r="A317" s="264" t="n"/>
    </row>
    <row r="318">
      <c r="A318" s="259" t="n"/>
    </row>
    <row r="319">
      <c r="A319" s="258" t="n"/>
    </row>
    <row r="320">
      <c r="A320" s="257" t="n"/>
    </row>
    <row r="321">
      <c r="A321" s="262" t="n"/>
    </row>
    <row r="322">
      <c r="A322" s="261" t="n"/>
    </row>
    <row r="323">
      <c r="A323" s="260" t="n"/>
    </row>
    <row r="324">
      <c r="A324" s="263" t="n"/>
    </row>
    <row r="325">
      <c r="A325" s="264" t="n"/>
    </row>
    <row r="327">
      <c r="A327" s="259" t="n"/>
    </row>
    <row r="328">
      <c r="A328" s="258" t="n"/>
    </row>
    <row r="329">
      <c r="A329" s="257" t="n"/>
    </row>
    <row r="330">
      <c r="A330" s="262" t="n"/>
    </row>
    <row r="331">
      <c r="A331" s="261" t="n"/>
    </row>
    <row r="332">
      <c r="A332" s="260" t="n"/>
    </row>
    <row r="333">
      <c r="A333" s="263" t="n"/>
    </row>
    <row r="334">
      <c r="A334" s="264" t="n"/>
    </row>
    <row r="335">
      <c r="A335" s="259" t="n"/>
    </row>
    <row r="336">
      <c r="A336" s="258" t="n"/>
    </row>
    <row r="337">
      <c r="A337" s="257" t="n"/>
    </row>
    <row r="338">
      <c r="A338" s="262" t="n"/>
    </row>
    <row r="339">
      <c r="A339" s="261" t="n"/>
    </row>
    <row r="340">
      <c r="A340" s="260" t="n"/>
    </row>
    <row r="341">
      <c r="A341" s="263" t="n"/>
    </row>
    <row r="342">
      <c r="A342" s="264" t="n"/>
    </row>
    <row r="343">
      <c r="A343" s="259" t="n"/>
    </row>
    <row r="344">
      <c r="A344" s="258" t="n"/>
    </row>
    <row r="345">
      <c r="A345" s="257" t="n"/>
    </row>
    <row r="346">
      <c r="A346" s="262" t="n"/>
    </row>
    <row r="347">
      <c r="A347" s="261" t="n"/>
    </row>
    <row r="348">
      <c r="A348" s="260" t="n"/>
    </row>
    <row r="349">
      <c r="A349" s="263" t="n"/>
    </row>
    <row r="350">
      <c r="A350" s="264" t="n"/>
    </row>
    <row r="351">
      <c r="A351" s="259" t="n"/>
    </row>
    <row r="352">
      <c r="A352" s="258" t="n"/>
    </row>
    <row r="353">
      <c r="A353" s="257" t="n"/>
    </row>
    <row r="354">
      <c r="A354" s="262" t="n"/>
    </row>
    <row r="355">
      <c r="A355" s="261" t="n"/>
    </row>
    <row r="356">
      <c r="A356" s="260" t="n"/>
    </row>
    <row r="357">
      <c r="A357" s="263" t="n"/>
    </row>
    <row r="358">
      <c r="A358" s="264" t="n"/>
    </row>
    <row r="360">
      <c r="A360" s="259" t="n"/>
    </row>
    <row r="361">
      <c r="A361" s="258" t="n"/>
    </row>
    <row r="362">
      <c r="A362" s="257" t="n"/>
    </row>
    <row r="363">
      <c r="A363" s="262" t="n"/>
    </row>
    <row r="364">
      <c r="A364" s="261" t="n"/>
    </row>
    <row r="365">
      <c r="A365" s="260" t="n"/>
    </row>
    <row r="366">
      <c r="A366" s="263" t="n"/>
    </row>
    <row r="367">
      <c r="A367" s="264" t="n"/>
    </row>
    <row r="368">
      <c r="A368" s="259" t="n"/>
    </row>
    <row r="369">
      <c r="A369" s="258" t="n"/>
    </row>
    <row r="370">
      <c r="A370" s="257" t="n"/>
    </row>
    <row r="371">
      <c r="A371" s="262" t="n"/>
    </row>
    <row r="372">
      <c r="A372" s="261" t="n"/>
    </row>
    <row r="373">
      <c r="A373" s="260" t="n"/>
    </row>
    <row r="374">
      <c r="A374" s="263" t="n"/>
    </row>
    <row r="375">
      <c r="A375" s="264" t="n"/>
    </row>
    <row r="376">
      <c r="A376" s="259" t="n"/>
    </row>
    <row r="377">
      <c r="A377" s="258" t="n"/>
    </row>
    <row r="378">
      <c r="A378" s="257" t="n"/>
    </row>
    <row r="379">
      <c r="A379" s="262" t="n"/>
    </row>
    <row r="380">
      <c r="A380" s="261" t="n"/>
    </row>
    <row r="381">
      <c r="A381" s="260" t="n"/>
    </row>
    <row r="382">
      <c r="A382" s="263" t="n"/>
    </row>
    <row r="383">
      <c r="A383" s="264" t="n"/>
    </row>
    <row r="384">
      <c r="A384" s="259" t="n"/>
    </row>
    <row r="385">
      <c r="A385" s="258" t="n"/>
    </row>
    <row r="386">
      <c r="A386" s="257" t="n"/>
    </row>
    <row r="387">
      <c r="A387" s="262" t="n"/>
    </row>
    <row r="388">
      <c r="A388" s="261" t="n"/>
    </row>
    <row r="389">
      <c r="A389" s="260" t="n"/>
    </row>
    <row r="390">
      <c r="A390" s="263" t="n"/>
    </row>
    <row r="391">
      <c r="A391" s="264" t="n"/>
    </row>
    <row r="393">
      <c r="A393" s="259" t="n"/>
    </row>
    <row r="394">
      <c r="A394" s="258" t="n"/>
    </row>
    <row r="395">
      <c r="A395" s="257" t="n"/>
    </row>
    <row r="396">
      <c r="A396" s="262" t="n"/>
    </row>
    <row r="397">
      <c r="A397" s="261" t="n"/>
    </row>
    <row r="398">
      <c r="A398" s="260" t="n"/>
    </row>
    <row r="399">
      <c r="A399" s="263" t="n"/>
    </row>
    <row r="400">
      <c r="A400" s="264" t="n"/>
    </row>
    <row r="401">
      <c r="A401" s="259" t="n"/>
    </row>
    <row r="402">
      <c r="A402" s="258" t="n"/>
    </row>
    <row r="403">
      <c r="A403" s="257" t="n"/>
    </row>
    <row r="404">
      <c r="A404" s="262" t="n"/>
    </row>
    <row r="405">
      <c r="A405" s="261" t="n"/>
    </row>
    <row r="406">
      <c r="A406" s="260" t="n"/>
    </row>
    <row r="407">
      <c r="A407" s="263" t="n"/>
    </row>
    <row r="408">
      <c r="A408" s="264" t="n"/>
    </row>
    <row r="409">
      <c r="A409" s="259" t="n"/>
    </row>
    <row r="410">
      <c r="A410" s="258" t="n"/>
    </row>
    <row r="411">
      <c r="A411" s="257" t="n"/>
    </row>
    <row r="412">
      <c r="A412" s="262" t="n"/>
    </row>
    <row r="413">
      <c r="A413" s="261" t="n"/>
    </row>
    <row r="414">
      <c r="A414" s="260" t="n"/>
    </row>
    <row r="415">
      <c r="A415" s="263" t="n"/>
    </row>
    <row r="416">
      <c r="A416" s="264" t="n"/>
    </row>
    <row r="417">
      <c r="A417" s="259" t="n"/>
    </row>
    <row r="418">
      <c r="A418" s="258" t="n"/>
    </row>
    <row r="419">
      <c r="A419" s="257" t="n"/>
    </row>
    <row r="420">
      <c r="A420" s="262" t="n"/>
    </row>
    <row r="421">
      <c r="A421" s="261" t="n"/>
    </row>
    <row r="422">
      <c r="A422" s="260" t="n"/>
    </row>
    <row r="423">
      <c r="A423" s="263" t="n"/>
    </row>
    <row r="424">
      <c r="A424" s="264" t="n"/>
    </row>
    <row r="426">
      <c r="A426" s="259" t="n"/>
    </row>
    <row r="427">
      <c r="A427" s="258" t="n"/>
    </row>
    <row r="428">
      <c r="A428" s="257" t="n"/>
    </row>
    <row r="429">
      <c r="A429" s="262" t="n"/>
    </row>
    <row r="430">
      <c r="A430" s="261" t="n"/>
    </row>
    <row r="431">
      <c r="A431" s="260" t="n"/>
    </row>
    <row r="432">
      <c r="A432" s="263" t="n"/>
    </row>
    <row r="433">
      <c r="A433" s="264" t="n"/>
    </row>
    <row r="434">
      <c r="A434" s="259" t="n"/>
    </row>
    <row r="435">
      <c r="A435" s="258" t="n"/>
    </row>
    <row r="436">
      <c r="A436" s="257" t="n"/>
    </row>
    <row r="437">
      <c r="A437" s="262" t="n"/>
    </row>
    <row r="438">
      <c r="A438" s="261" t="n"/>
    </row>
    <row r="439">
      <c r="A439" s="260" t="n"/>
    </row>
    <row r="440">
      <c r="A440" s="263" t="n"/>
    </row>
    <row r="441">
      <c r="A441" s="264" t="n"/>
    </row>
    <row r="442">
      <c r="A442" s="259" t="n"/>
    </row>
    <row r="443">
      <c r="A443" s="258" t="n"/>
    </row>
    <row r="444">
      <c r="A444" s="257" t="n"/>
    </row>
    <row r="445">
      <c r="A445" s="262" t="n"/>
    </row>
    <row r="446">
      <c r="A446" s="261" t="n"/>
    </row>
    <row r="447">
      <c r="A447" s="260" t="n"/>
    </row>
    <row r="448">
      <c r="A448" s="263" t="n"/>
    </row>
    <row r="449">
      <c r="A449" s="264" t="n"/>
    </row>
    <row r="450">
      <c r="A450" s="259" t="n"/>
    </row>
    <row r="451">
      <c r="A451" s="258" t="n"/>
    </row>
    <row r="452">
      <c r="A452" s="257" t="n"/>
    </row>
    <row r="453">
      <c r="A453" s="262" t="n"/>
    </row>
    <row r="454">
      <c r="A454" s="261" t="n"/>
    </row>
    <row r="455">
      <c r="A455" s="260" t="n"/>
    </row>
    <row r="456">
      <c r="A456" s="263" t="n"/>
    </row>
    <row r="457">
      <c r="A457" s="264" t="n"/>
    </row>
    <row r="459">
      <c r="A459" s="259" t="n"/>
    </row>
    <row r="460">
      <c r="A460" s="258" t="n"/>
    </row>
    <row r="461">
      <c r="A461" s="257" t="n"/>
    </row>
    <row r="462">
      <c r="A462" s="262" t="n"/>
    </row>
    <row r="463">
      <c r="A463" s="261" t="n"/>
    </row>
    <row r="464">
      <c r="A464" s="260" t="n"/>
    </row>
    <row r="465">
      <c r="A465" s="263" t="n"/>
    </row>
    <row r="466">
      <c r="A466" s="264" t="n"/>
    </row>
    <row r="467">
      <c r="A467" s="259" t="n"/>
    </row>
    <row r="468">
      <c r="A468" s="258" t="n"/>
    </row>
    <row r="469">
      <c r="A469" s="257" t="n"/>
    </row>
    <row r="470">
      <c r="A470" s="262" t="n"/>
    </row>
    <row r="471">
      <c r="A471" s="261" t="n"/>
    </row>
    <row r="472">
      <c r="A472" s="260" t="n"/>
    </row>
    <row r="473">
      <c r="A473" s="263" t="n"/>
    </row>
    <row r="474">
      <c r="A474" s="264" t="n"/>
    </row>
    <row r="475">
      <c r="A475" s="259" t="n"/>
    </row>
    <row r="476">
      <c r="A476" s="258" t="n"/>
    </row>
    <row r="477">
      <c r="A477" s="257" t="n"/>
    </row>
    <row r="478">
      <c r="A478" s="262" t="n"/>
    </row>
    <row r="479">
      <c r="A479" s="261" t="n"/>
    </row>
    <row r="480">
      <c r="A480" s="260" t="n"/>
    </row>
    <row r="481">
      <c r="A481" s="263" t="n"/>
    </row>
    <row r="482">
      <c r="A482" s="264" t="n"/>
    </row>
    <row r="483">
      <c r="A483" s="259" t="n"/>
    </row>
    <row r="484">
      <c r="A484" s="258" t="n"/>
    </row>
    <row r="485">
      <c r="A485" s="257" t="n"/>
    </row>
    <row r="486">
      <c r="A486" s="262" t="n"/>
    </row>
    <row r="487">
      <c r="A487" s="261" t="n"/>
    </row>
    <row r="488">
      <c r="A488" s="260" t="n"/>
    </row>
    <row r="489">
      <c r="A489" s="263" t="n"/>
    </row>
    <row r="490">
      <c r="A490" s="264" t="n"/>
    </row>
    <row r="492">
      <c r="A492" s="259" t="n"/>
    </row>
    <row r="493">
      <c r="A493" s="258" t="n"/>
    </row>
    <row r="494">
      <c r="A494" s="257" t="n"/>
    </row>
    <row r="495">
      <c r="A495" s="262" t="n"/>
    </row>
    <row r="496">
      <c r="A496" s="261" t="n"/>
    </row>
    <row r="497">
      <c r="A497" s="260" t="n"/>
    </row>
    <row r="498">
      <c r="A498" s="263" t="n"/>
    </row>
    <row r="499">
      <c r="A499" s="264" t="n"/>
    </row>
    <row r="500">
      <c r="A500" s="259" t="n"/>
    </row>
    <row r="501">
      <c r="A501" s="258" t="n"/>
    </row>
    <row r="502">
      <c r="A502" s="257" t="n"/>
    </row>
    <row r="503">
      <c r="A503" s="262" t="n"/>
    </row>
    <row r="504">
      <c r="A504" s="261" t="n"/>
    </row>
    <row r="505">
      <c r="A505" s="260" t="n"/>
    </row>
    <row r="506">
      <c r="A506" s="263" t="n"/>
    </row>
    <row r="507">
      <c r="A507" s="264" t="n"/>
    </row>
    <row r="508">
      <c r="A508" s="259" t="n"/>
    </row>
    <row r="509">
      <c r="A509" s="258" t="n"/>
    </row>
    <row r="510">
      <c r="A510" s="257" t="n"/>
    </row>
    <row r="511">
      <c r="A511" s="262" t="n"/>
    </row>
    <row r="512">
      <c r="A512" s="261" t="n"/>
    </row>
    <row r="513">
      <c r="A513" s="260" t="n"/>
    </row>
    <row r="514">
      <c r="A514" s="263" t="n"/>
    </row>
    <row r="515">
      <c r="A515" s="264" t="n"/>
    </row>
    <row r="516">
      <c r="A516" s="259" t="n"/>
    </row>
    <row r="517">
      <c r="A517" s="258" t="n"/>
    </row>
    <row r="518">
      <c r="A518" s="257" t="n"/>
    </row>
    <row r="519">
      <c r="A519" s="262" t="n"/>
    </row>
    <row r="520">
      <c r="A520" s="261" t="n"/>
    </row>
    <row r="521">
      <c r="A521" s="260" t="n"/>
    </row>
    <row r="522">
      <c r="A522" s="263" t="n"/>
    </row>
    <row r="523">
      <c r="A523" s="264" t="n"/>
    </row>
    <row r="525">
      <c r="A525" s="259" t="n"/>
    </row>
    <row r="526">
      <c r="A526" s="258" t="n"/>
    </row>
    <row r="527">
      <c r="A527" s="257" t="n"/>
    </row>
    <row r="528">
      <c r="A528" s="262" t="n"/>
    </row>
    <row r="529">
      <c r="A529" s="261" t="n"/>
    </row>
    <row r="530">
      <c r="A530" s="260" t="n"/>
    </row>
    <row r="531">
      <c r="A531" s="263" t="n"/>
    </row>
    <row r="532">
      <c r="A532" s="264" t="n"/>
    </row>
    <row r="533">
      <c r="A533" s="259" t="n"/>
    </row>
    <row r="534">
      <c r="A534" s="258" t="n"/>
    </row>
    <row r="535">
      <c r="A535" s="257" t="n"/>
    </row>
    <row r="536">
      <c r="A536" s="262" t="n"/>
    </row>
    <row r="537">
      <c r="A537" s="261" t="n"/>
    </row>
    <row r="538">
      <c r="A538" s="260" t="n"/>
    </row>
    <row r="539">
      <c r="A539" s="263" t="n"/>
    </row>
    <row r="540">
      <c r="A540" s="264" t="n"/>
    </row>
    <row r="541">
      <c r="A541" s="259" t="n"/>
    </row>
    <row r="542">
      <c r="A542" s="258" t="n"/>
    </row>
    <row r="543">
      <c r="A543" s="257" t="n"/>
    </row>
    <row r="544">
      <c r="A544" s="262" t="n"/>
    </row>
    <row r="545">
      <c r="A545" s="261" t="n"/>
    </row>
    <row r="546">
      <c r="A546" s="260" t="n"/>
    </row>
    <row r="547">
      <c r="A547" s="263" t="n"/>
    </row>
    <row r="548">
      <c r="A548" s="264" t="n"/>
    </row>
    <row r="549">
      <c r="A549" s="259" t="n"/>
    </row>
    <row r="550">
      <c r="A550" s="258" t="n"/>
    </row>
    <row r="551">
      <c r="A551" s="257" t="n"/>
    </row>
    <row r="552">
      <c r="A552" s="262" t="n"/>
    </row>
    <row r="553">
      <c r="A553" s="261" t="n"/>
    </row>
    <row r="554">
      <c r="A554" s="260" t="n"/>
    </row>
    <row r="555">
      <c r="A555" s="263" t="n"/>
    </row>
    <row r="556">
      <c r="A556" s="264" t="n"/>
    </row>
    <row r="558">
      <c r="A558" s="259" t="n"/>
    </row>
    <row r="559">
      <c r="A559" s="258" t="n"/>
    </row>
    <row r="560">
      <c r="A560" s="257" t="n"/>
    </row>
    <row r="561">
      <c r="A561" s="262" t="n"/>
    </row>
    <row r="562">
      <c r="A562" s="261" t="n"/>
    </row>
    <row r="563">
      <c r="A563" s="260" t="n"/>
    </row>
    <row r="564">
      <c r="A564" s="263" t="n"/>
    </row>
    <row r="565">
      <c r="A565" s="264" t="n"/>
    </row>
    <row r="566">
      <c r="A566" s="259" t="n"/>
    </row>
    <row r="567">
      <c r="A567" s="258" t="n"/>
    </row>
    <row r="568">
      <c r="A568" s="257" t="n"/>
    </row>
    <row r="569">
      <c r="A569" s="262" t="n"/>
    </row>
    <row r="570">
      <c r="A570" s="261" t="n"/>
    </row>
    <row r="571">
      <c r="A571" s="260" t="n"/>
    </row>
    <row r="572">
      <c r="A572" s="263" t="n"/>
    </row>
    <row r="573">
      <c r="A573" s="264" t="n"/>
    </row>
    <row r="574">
      <c r="A574" s="259" t="n"/>
    </row>
    <row r="575">
      <c r="A575" s="258" t="n"/>
    </row>
    <row r="576">
      <c r="A576" s="257" t="n"/>
    </row>
    <row r="577">
      <c r="A577" s="262" t="n"/>
    </row>
    <row r="578">
      <c r="A578" s="261" t="n"/>
    </row>
    <row r="579">
      <c r="A579" s="260" t="n"/>
    </row>
    <row r="580">
      <c r="A580" s="263" t="n"/>
    </row>
    <row r="581">
      <c r="A581" s="264" t="n"/>
    </row>
    <row r="582">
      <c r="A582" s="259" t="n"/>
    </row>
    <row r="583">
      <c r="A583" s="258" t="n"/>
    </row>
    <row r="584">
      <c r="A584" s="257" t="n"/>
    </row>
    <row r="585">
      <c r="A585" s="262" t="n"/>
    </row>
    <row r="586">
      <c r="A586" s="261" t="n"/>
    </row>
    <row r="587">
      <c r="A587" s="260" t="n"/>
    </row>
    <row r="588">
      <c r="A588" s="263" t="n"/>
    </row>
    <row r="589">
      <c r="A589" s="264" t="n"/>
    </row>
    <row r="591">
      <c r="A591" s="259" t="n"/>
    </row>
    <row r="592">
      <c r="A592" s="258" t="n"/>
    </row>
    <row r="593">
      <c r="A593" s="257" t="n"/>
    </row>
    <row r="594">
      <c r="A594" s="262" t="n"/>
    </row>
    <row r="595">
      <c r="A595" s="261" t="n"/>
    </row>
    <row r="596">
      <c r="A596" s="260" t="n"/>
    </row>
    <row r="597">
      <c r="A597" s="263" t="n"/>
    </row>
    <row r="598">
      <c r="A598" s="264" t="n"/>
    </row>
    <row r="599">
      <c r="A599" s="259" t="n"/>
    </row>
    <row r="600">
      <c r="A600" s="258" t="n"/>
    </row>
    <row r="601">
      <c r="A601" s="257" t="n"/>
    </row>
    <row r="602">
      <c r="A602" s="262" t="n"/>
    </row>
    <row r="603">
      <c r="A603" s="261" t="n"/>
    </row>
    <row r="604">
      <c r="A604" s="260" t="n"/>
    </row>
    <row r="605">
      <c r="A605" s="263" t="n"/>
    </row>
    <row r="606">
      <c r="A606" s="264" t="n"/>
    </row>
    <row r="607">
      <c r="A607" s="259" t="n"/>
    </row>
    <row r="608">
      <c r="A608" s="258" t="n"/>
    </row>
    <row r="609">
      <c r="A609" s="257" t="n"/>
    </row>
    <row r="610">
      <c r="A610" s="262" t="n"/>
    </row>
    <row r="611">
      <c r="A611" s="261" t="n"/>
    </row>
    <row r="612">
      <c r="A612" s="260" t="n"/>
    </row>
    <row r="613">
      <c r="A613" s="263" t="n"/>
    </row>
    <row r="614">
      <c r="A614" s="264" t="n"/>
    </row>
    <row r="615">
      <c r="A615" s="259" t="n"/>
    </row>
    <row r="616">
      <c r="A616" s="258" t="n"/>
    </row>
    <row r="617">
      <c r="A617" s="257" t="n"/>
    </row>
    <row r="618">
      <c r="A618" s="262" t="n"/>
    </row>
    <row r="619">
      <c r="A619" s="261" t="n"/>
    </row>
    <row r="620">
      <c r="A620" s="260" t="n"/>
    </row>
    <row r="621">
      <c r="A621" s="263" t="n"/>
    </row>
    <row r="622">
      <c r="A622" s="264" t="n"/>
    </row>
    <row r="624">
      <c r="A624" s="259" t="n"/>
    </row>
    <row r="625">
      <c r="A625" s="258" t="n"/>
    </row>
    <row r="626">
      <c r="A626" s="257" t="n"/>
    </row>
    <row r="627">
      <c r="A627" s="262" t="n"/>
    </row>
    <row r="628">
      <c r="A628" s="261" t="n"/>
    </row>
    <row r="629">
      <c r="A629" s="260" t="n"/>
    </row>
    <row r="630">
      <c r="A630" s="263" t="n"/>
    </row>
    <row r="631">
      <c r="A631" s="264" t="n"/>
    </row>
    <row r="632">
      <c r="A632" s="259" t="n"/>
    </row>
    <row r="633">
      <c r="A633" s="258" t="n"/>
    </row>
    <row r="634">
      <c r="A634" s="257" t="n"/>
    </row>
    <row r="635">
      <c r="A635" s="262" t="n"/>
    </row>
    <row r="636">
      <c r="A636" s="261" t="n"/>
    </row>
    <row r="637">
      <c r="A637" s="260" t="n"/>
    </row>
    <row r="638">
      <c r="A638" s="263" t="n"/>
    </row>
    <row r="639">
      <c r="A639" s="264" t="n"/>
    </row>
    <row r="640">
      <c r="A640" s="259" t="n"/>
    </row>
    <row r="641">
      <c r="A641" s="258" t="n"/>
    </row>
    <row r="642">
      <c r="A642" s="257" t="n"/>
    </row>
    <row r="643">
      <c r="A643" s="262" t="n"/>
    </row>
    <row r="644">
      <c r="A644" s="261" t="n"/>
    </row>
    <row r="645">
      <c r="A645" s="260" t="n"/>
    </row>
    <row r="646">
      <c r="A646" s="263" t="n"/>
    </row>
    <row r="647">
      <c r="A647" s="264" t="n"/>
    </row>
    <row r="648">
      <c r="A648" s="259" t="n"/>
    </row>
    <row r="649">
      <c r="A649" s="258" t="n"/>
    </row>
    <row r="650">
      <c r="A650" s="257" t="n"/>
    </row>
    <row r="651">
      <c r="A651" s="262" t="n"/>
    </row>
    <row r="652">
      <c r="A652" s="261" t="n"/>
    </row>
    <row r="653">
      <c r="A653" s="260" t="n"/>
    </row>
    <row r="654">
      <c r="A654" s="263" t="n"/>
    </row>
    <row r="655">
      <c r="A655" s="264" t="n"/>
    </row>
    <row r="657">
      <c r="A657" s="259" t="n"/>
    </row>
    <row r="658">
      <c r="A658" s="258" t="n"/>
    </row>
    <row r="659">
      <c r="A659" s="257" t="n"/>
    </row>
    <row r="660">
      <c r="A660" s="262" t="n"/>
    </row>
    <row r="661">
      <c r="A661" s="261" t="n"/>
    </row>
    <row r="662">
      <c r="A662" s="260" t="n"/>
    </row>
    <row r="663">
      <c r="A663" s="263" t="n"/>
    </row>
    <row r="664">
      <c r="A664" s="264" t="n"/>
    </row>
    <row r="665">
      <c r="A665" s="259" t="n"/>
    </row>
    <row r="666">
      <c r="A666" s="258" t="n"/>
    </row>
    <row r="667">
      <c r="A667" s="257" t="n"/>
    </row>
    <row r="668">
      <c r="A668" s="262" t="n"/>
    </row>
    <row r="669">
      <c r="A669" s="261" t="n"/>
    </row>
    <row r="670">
      <c r="A670" s="260" t="n"/>
    </row>
    <row r="671">
      <c r="A671" s="263" t="n"/>
    </row>
    <row r="672">
      <c r="A672" s="264" t="n"/>
    </row>
    <row r="673">
      <c r="A673" s="259" t="n"/>
    </row>
    <row r="674">
      <c r="A674" s="258" t="n"/>
    </row>
    <row r="675">
      <c r="A675" s="257" t="n"/>
    </row>
    <row r="676">
      <c r="A676" s="262" t="n"/>
    </row>
    <row r="677">
      <c r="A677" s="261" t="n"/>
    </row>
    <row r="678">
      <c r="A678" s="260" t="n"/>
    </row>
    <row r="679">
      <c r="A679" s="263" t="n"/>
    </row>
    <row r="680">
      <c r="A680" s="264" t="n"/>
    </row>
    <row r="681">
      <c r="A681" s="259" t="n"/>
    </row>
    <row r="682">
      <c r="A682" s="258" t="n"/>
    </row>
    <row r="683">
      <c r="A683" s="257" t="n"/>
    </row>
    <row r="684">
      <c r="A684" s="262" t="n"/>
    </row>
    <row r="685">
      <c r="A685" s="261" t="n"/>
    </row>
    <row r="686">
      <c r="A686" s="260" t="n"/>
    </row>
    <row r="687">
      <c r="A687" s="263" t="n"/>
    </row>
    <row r="688">
      <c r="A688" s="264" t="n"/>
    </row>
    <row r="690">
      <c r="A690" s="259" t="n"/>
    </row>
    <row r="691">
      <c r="A691" s="258" t="n"/>
    </row>
    <row r="692">
      <c r="A692" s="257" t="n"/>
    </row>
    <row r="693">
      <c r="A693" s="262" t="n"/>
    </row>
    <row r="694">
      <c r="A694" s="261" t="n"/>
    </row>
    <row r="695">
      <c r="A695" s="260" t="n"/>
    </row>
    <row r="696">
      <c r="A696" s="263" t="n"/>
    </row>
    <row r="697">
      <c r="A697" s="264" t="n"/>
    </row>
    <row r="698">
      <c r="A698" s="259" t="n"/>
    </row>
    <row r="699">
      <c r="A699" s="258" t="n"/>
    </row>
    <row r="700">
      <c r="A700" s="257" t="n"/>
    </row>
    <row r="701">
      <c r="A701" s="262" t="n"/>
    </row>
    <row r="702">
      <c r="A702" s="261" t="n"/>
    </row>
    <row r="703">
      <c r="A703" s="260" t="n"/>
    </row>
    <row r="704">
      <c r="A704" s="263" t="n"/>
    </row>
    <row r="705">
      <c r="A705" s="264" t="n"/>
    </row>
    <row r="706">
      <c r="A706" s="259" t="n"/>
    </row>
    <row r="707">
      <c r="A707" s="258" t="n"/>
    </row>
    <row r="708">
      <c r="A708" s="257" t="n"/>
    </row>
    <row r="709">
      <c r="A709" s="262" t="n"/>
    </row>
    <row r="710">
      <c r="A710" s="261" t="n"/>
    </row>
    <row r="711">
      <c r="A711" s="260" t="n"/>
    </row>
    <row r="712">
      <c r="A712" s="263" t="n"/>
    </row>
    <row r="713">
      <c r="A713" s="264" t="n"/>
    </row>
    <row r="714">
      <c r="A714" s="259" t="n"/>
    </row>
    <row r="715">
      <c r="A715" s="258" t="n"/>
    </row>
    <row r="716">
      <c r="A716" s="257" t="n"/>
    </row>
    <row r="717">
      <c r="A717" s="262" t="n"/>
    </row>
    <row r="718">
      <c r="A718" s="261" t="n"/>
    </row>
    <row r="719">
      <c r="A719" s="260" t="n"/>
    </row>
    <row r="720">
      <c r="A720" s="263" t="n"/>
    </row>
    <row r="721">
      <c r="A721" s="264" t="n"/>
    </row>
    <row r="723">
      <c r="A723" s="259" t="n"/>
    </row>
    <row r="724">
      <c r="A724" s="258" t="n"/>
    </row>
    <row r="725">
      <c r="A725" s="257" t="n"/>
    </row>
    <row r="726">
      <c r="A726" s="262" t="n"/>
    </row>
    <row r="727">
      <c r="A727" s="261" t="n"/>
    </row>
    <row r="728">
      <c r="A728" s="260" t="n"/>
    </row>
    <row r="729">
      <c r="A729" s="263" t="n"/>
    </row>
    <row r="730">
      <c r="A730" s="264" t="n"/>
    </row>
    <row r="731">
      <c r="A731" s="259" t="n"/>
    </row>
    <row r="732">
      <c r="A732" s="258" t="n"/>
    </row>
    <row r="733">
      <c r="A733" s="257" t="n"/>
    </row>
    <row r="734">
      <c r="A734" s="262" t="n"/>
    </row>
    <row r="735">
      <c r="A735" s="261" t="n"/>
    </row>
    <row r="736">
      <c r="A736" s="260" t="n"/>
    </row>
    <row r="737">
      <c r="A737" s="263" t="n"/>
    </row>
    <row r="738">
      <c r="A738" s="264" t="n"/>
    </row>
    <row r="739">
      <c r="A739" s="259" t="n"/>
    </row>
    <row r="740">
      <c r="A740" s="258" t="n"/>
    </row>
    <row r="741">
      <c r="A741" s="257" t="n"/>
    </row>
    <row r="742">
      <c r="A742" s="262" t="n"/>
    </row>
    <row r="743">
      <c r="A743" s="261" t="n"/>
    </row>
    <row r="744">
      <c r="A744" s="260" t="n"/>
    </row>
    <row r="745">
      <c r="A745" s="263" t="n"/>
    </row>
    <row r="746">
      <c r="A746" s="264" t="n"/>
    </row>
    <row r="747">
      <c r="A747" s="259" t="n"/>
    </row>
    <row r="748">
      <c r="A748" s="258" t="n"/>
    </row>
    <row r="749">
      <c r="A749" s="257" t="n"/>
    </row>
    <row r="750">
      <c r="A750" s="262" t="n"/>
    </row>
    <row r="751">
      <c r="A751" s="261" t="n"/>
    </row>
    <row r="752">
      <c r="A752" s="260" t="n"/>
    </row>
    <row r="753">
      <c r="A753" s="263" t="n"/>
    </row>
    <row r="754">
      <c r="A754" s="264" t="n"/>
    </row>
    <row r="756">
      <c r="A756" s="259" t="n"/>
    </row>
    <row r="757">
      <c r="A757" s="258" t="n"/>
    </row>
    <row r="758">
      <c r="A758" s="257" t="n"/>
    </row>
    <row r="759">
      <c r="A759" s="262" t="n"/>
    </row>
    <row r="760">
      <c r="A760" s="261" t="n"/>
    </row>
    <row r="761">
      <c r="A761" s="260" t="n"/>
    </row>
    <row r="762">
      <c r="A762" s="263" t="n"/>
    </row>
    <row r="763">
      <c r="A763" s="264" t="n"/>
    </row>
    <row r="764">
      <c r="A764" s="259" t="n"/>
    </row>
    <row r="765">
      <c r="A765" s="258" t="n"/>
    </row>
    <row r="766">
      <c r="A766" s="257" t="n"/>
    </row>
    <row r="767">
      <c r="A767" s="262" t="n"/>
    </row>
    <row r="768">
      <c r="A768" s="261" t="n"/>
    </row>
    <row r="769">
      <c r="A769" s="260" t="n"/>
    </row>
    <row r="770">
      <c r="A770" s="263" t="n"/>
    </row>
    <row r="771">
      <c r="A771" s="264" t="n"/>
    </row>
    <row r="772">
      <c r="A772" s="259" t="n"/>
    </row>
    <row r="773">
      <c r="A773" s="258" t="n"/>
    </row>
    <row r="774">
      <c r="A774" s="257" t="n"/>
    </row>
    <row r="775">
      <c r="A775" s="262" t="n"/>
    </row>
    <row r="776">
      <c r="A776" s="261" t="n"/>
    </row>
    <row r="777">
      <c r="A777" s="260" t="n"/>
    </row>
    <row r="778">
      <c r="A778" s="263" t="n"/>
    </row>
    <row r="779">
      <c r="A779" s="264" t="n"/>
    </row>
    <row r="780">
      <c r="A780" s="259" t="n"/>
    </row>
    <row r="781">
      <c r="A781" s="258" t="n"/>
    </row>
    <row r="782">
      <c r="A782" s="257" t="n"/>
    </row>
    <row r="783">
      <c r="A783" s="262" t="n"/>
    </row>
    <row r="784">
      <c r="A784" s="261" t="n"/>
    </row>
    <row r="785">
      <c r="A785" s="260" t="n"/>
    </row>
    <row r="786">
      <c r="A786" s="263" t="n"/>
    </row>
    <row r="787">
      <c r="A787" s="264" t="n"/>
    </row>
    <row r="789">
      <c r="A789" s="259" t="n"/>
    </row>
    <row r="790">
      <c r="A790" s="258" t="n"/>
    </row>
    <row r="791">
      <c r="A791" s="257" t="n"/>
    </row>
    <row r="792">
      <c r="A792" s="262" t="n"/>
    </row>
    <row r="793">
      <c r="A793" s="261" t="n"/>
    </row>
    <row r="794">
      <c r="A794" s="260" t="n"/>
    </row>
    <row r="795">
      <c r="A795" s="263" t="n"/>
    </row>
    <row r="796">
      <c r="A796" s="264" t="n"/>
    </row>
    <row r="797">
      <c r="A797" s="259" t="n"/>
    </row>
    <row r="798">
      <c r="A798" s="258" t="n"/>
    </row>
    <row r="799">
      <c r="A799" s="257" t="n"/>
    </row>
    <row r="800">
      <c r="A800" s="262" t="n"/>
    </row>
    <row r="801">
      <c r="A801" s="261" t="n"/>
    </row>
    <row r="802">
      <c r="A802" s="260" t="n"/>
    </row>
    <row r="803">
      <c r="A803" s="263" t="n"/>
    </row>
    <row r="804">
      <c r="A804" s="264" t="n"/>
    </row>
    <row r="805">
      <c r="A805" s="259" t="n"/>
    </row>
    <row r="806">
      <c r="A806" s="258" t="n"/>
    </row>
    <row r="807">
      <c r="A807" s="257" t="n"/>
    </row>
    <row r="808">
      <c r="A808" s="262" t="n"/>
    </row>
    <row r="809">
      <c r="A809" s="261" t="n"/>
    </row>
    <row r="810">
      <c r="A810" s="260" t="n"/>
    </row>
    <row r="811">
      <c r="A811" s="263" t="n"/>
    </row>
    <row r="812">
      <c r="A812" s="264" t="n"/>
    </row>
    <row r="813">
      <c r="A813" s="259" t="n"/>
    </row>
    <row r="814">
      <c r="A814" s="258" t="n"/>
    </row>
    <row r="815">
      <c r="A815" s="257" t="n"/>
    </row>
    <row r="816">
      <c r="A816" s="262" t="n"/>
    </row>
    <row r="817">
      <c r="A817" s="261" t="n"/>
    </row>
    <row r="818">
      <c r="A818" s="260" t="n"/>
    </row>
    <row r="819">
      <c r="A819" s="263" t="n"/>
    </row>
    <row r="820">
      <c r="A820" s="264" t="n"/>
    </row>
    <row r="822">
      <c r="A822" s="259" t="n"/>
    </row>
    <row r="823">
      <c r="A823" s="258" t="n"/>
    </row>
    <row r="824">
      <c r="A824" s="257" t="n"/>
    </row>
    <row r="825">
      <c r="A825" s="262" t="n"/>
    </row>
    <row r="826">
      <c r="A826" s="261" t="n"/>
    </row>
    <row r="827">
      <c r="A827" s="260" t="n"/>
    </row>
    <row r="828">
      <c r="A828" s="263" t="n"/>
    </row>
    <row r="829">
      <c r="A829" s="264" t="n"/>
    </row>
    <row r="830">
      <c r="A830" s="259" t="n"/>
    </row>
    <row r="831">
      <c r="A831" s="258" t="n"/>
    </row>
    <row r="832">
      <c r="A832" s="257" t="n"/>
    </row>
    <row r="833">
      <c r="A833" s="262" t="n"/>
    </row>
    <row r="834">
      <c r="A834" s="261" t="n"/>
    </row>
    <row r="835">
      <c r="A835" s="260" t="n"/>
    </row>
    <row r="836">
      <c r="A836" s="263" t="n"/>
    </row>
    <row r="837">
      <c r="A837" s="264" t="n"/>
    </row>
    <row r="838">
      <c r="A838" s="259" t="n"/>
    </row>
    <row r="839">
      <c r="A839" s="258" t="n"/>
    </row>
    <row r="840">
      <c r="A840" s="257" t="n"/>
    </row>
    <row r="841">
      <c r="A841" s="262" t="n"/>
    </row>
    <row r="842">
      <c r="A842" s="261" t="n"/>
    </row>
    <row r="843">
      <c r="A843" s="260" t="n"/>
    </row>
    <row r="844">
      <c r="A844" s="263" t="n"/>
    </row>
    <row r="845">
      <c r="A845" s="264" t="n"/>
    </row>
    <row r="846">
      <c r="A846" s="259" t="n"/>
    </row>
    <row r="847">
      <c r="A847" s="258" t="n"/>
    </row>
    <row r="848">
      <c r="A848" s="257" t="n"/>
    </row>
    <row r="849">
      <c r="A849" s="262" t="n"/>
    </row>
    <row r="850">
      <c r="A850" s="261" t="n"/>
    </row>
    <row r="851">
      <c r="A851" s="260" t="n"/>
    </row>
    <row r="852">
      <c r="A852" s="263" t="n"/>
    </row>
    <row r="853">
      <c r="A853" s="264" t="n"/>
    </row>
    <row r="855">
      <c r="A855" s="259" t="n"/>
    </row>
    <row r="856">
      <c r="A856" s="258" t="n"/>
    </row>
    <row r="857">
      <c r="A857" s="257" t="n"/>
    </row>
    <row r="858">
      <c r="A858" s="262" t="n"/>
    </row>
    <row r="859">
      <c r="A859" s="261" t="n"/>
    </row>
    <row r="860">
      <c r="A860" s="260" t="n"/>
    </row>
    <row r="861">
      <c r="A861" s="263" t="n"/>
    </row>
    <row r="862">
      <c r="A862" s="264" t="n"/>
    </row>
    <row r="863">
      <c r="A863" s="259" t="n"/>
    </row>
    <row r="864">
      <c r="A864" s="258" t="n"/>
    </row>
    <row r="865">
      <c r="A865" s="257" t="n"/>
    </row>
    <row r="866">
      <c r="A866" s="262" t="n"/>
    </row>
    <row r="867">
      <c r="A867" s="261" t="n"/>
    </row>
    <row r="868">
      <c r="A868" s="260" t="n"/>
    </row>
    <row r="869">
      <c r="A869" s="263" t="n"/>
    </row>
    <row r="870">
      <c r="A870" s="264" t="n"/>
    </row>
    <row r="871">
      <c r="A871" s="259" t="n"/>
    </row>
    <row r="872">
      <c r="A872" s="258" t="n"/>
    </row>
    <row r="873">
      <c r="A873" s="257" t="n"/>
    </row>
    <row r="874">
      <c r="A874" s="262" t="n"/>
    </row>
    <row r="875">
      <c r="A875" s="261" t="n"/>
    </row>
    <row r="876">
      <c r="A876" s="260" t="n"/>
    </row>
    <row r="877">
      <c r="A877" s="263" t="n"/>
    </row>
    <row r="878">
      <c r="A878" s="264" t="n"/>
    </row>
    <row r="879">
      <c r="A879" s="259" t="n"/>
    </row>
    <row r="880">
      <c r="A880" s="258" t="n"/>
    </row>
    <row r="881">
      <c r="A881" s="257" t="n"/>
    </row>
    <row r="882">
      <c r="A882" s="262" t="n"/>
    </row>
    <row r="883">
      <c r="A883" s="261" t="n"/>
    </row>
    <row r="884">
      <c r="A884" s="260" t="n"/>
    </row>
    <row r="885">
      <c r="A885" s="263" t="n"/>
    </row>
    <row r="886">
      <c r="A886" s="264" t="n"/>
    </row>
    <row r="888">
      <c r="A888" s="259" t="n"/>
    </row>
    <row r="889">
      <c r="A889" s="258" t="n"/>
    </row>
    <row r="890">
      <c r="A890" s="257" t="n"/>
    </row>
    <row r="891">
      <c r="A891" s="262" t="n"/>
    </row>
    <row r="892">
      <c r="A892" s="261" t="n"/>
    </row>
    <row r="893">
      <c r="A893" s="260" t="n"/>
    </row>
    <row r="894">
      <c r="A894" s="263" t="n"/>
    </row>
    <row r="895">
      <c r="A895" s="264" t="n"/>
    </row>
    <row r="896">
      <c r="A896" s="259" t="n"/>
    </row>
    <row r="897">
      <c r="A897" s="258" t="n"/>
    </row>
    <row r="898">
      <c r="A898" s="257" t="n"/>
    </row>
    <row r="899">
      <c r="A899" s="262" t="n"/>
    </row>
    <row r="900">
      <c r="A900" s="261" t="n"/>
    </row>
    <row r="901">
      <c r="A901" s="260" t="n"/>
    </row>
    <row r="902">
      <c r="A902" s="263" t="n"/>
    </row>
    <row r="903">
      <c r="A903" s="264" t="n"/>
    </row>
    <row r="904">
      <c r="A904" s="259" t="n"/>
    </row>
    <row r="905">
      <c r="A905" s="258" t="n"/>
    </row>
    <row r="906">
      <c r="A906" s="257" t="n"/>
    </row>
    <row r="907">
      <c r="A907" s="262" t="n"/>
    </row>
    <row r="908">
      <c r="A908" s="261" t="n"/>
    </row>
    <row r="909">
      <c r="A909" s="260" t="n"/>
    </row>
    <row r="910">
      <c r="A910" s="263" t="n"/>
    </row>
    <row r="911">
      <c r="A911" s="264" t="n"/>
    </row>
    <row r="912">
      <c r="A912" s="259" t="n"/>
    </row>
    <row r="913">
      <c r="A913" s="258" t="n"/>
    </row>
    <row r="914">
      <c r="A914" s="257" t="n"/>
    </row>
    <row r="915">
      <c r="A915" s="262" t="n"/>
    </row>
    <row r="916">
      <c r="A916" s="261" t="n"/>
    </row>
    <row r="917">
      <c r="A917" s="260" t="n"/>
    </row>
    <row r="918">
      <c r="A918" s="263" t="n"/>
    </row>
    <row r="919">
      <c r="A919" s="264" t="n"/>
    </row>
    <row r="921">
      <c r="A921" s="259" t="n"/>
    </row>
    <row r="922">
      <c r="A922" s="258" t="n"/>
    </row>
    <row r="923">
      <c r="A923" s="257" t="n"/>
    </row>
    <row r="924">
      <c r="A924" s="262" t="n"/>
    </row>
    <row r="925">
      <c r="A925" s="261" t="n"/>
    </row>
    <row r="926">
      <c r="A926" s="260" t="n"/>
    </row>
    <row r="927">
      <c r="A927" s="263" t="n"/>
    </row>
    <row r="928">
      <c r="A928" s="264" t="n"/>
    </row>
    <row r="929">
      <c r="A929" s="259" t="n"/>
    </row>
    <row r="930">
      <c r="A930" s="258" t="n"/>
    </row>
    <row r="931">
      <c r="A931" s="257" t="n"/>
    </row>
    <row r="932">
      <c r="A932" s="262" t="n"/>
    </row>
    <row r="933">
      <c r="A933" s="261" t="n"/>
    </row>
    <row r="934">
      <c r="A934" s="260" t="n"/>
    </row>
    <row r="935">
      <c r="A935" s="263" t="n"/>
    </row>
    <row r="936">
      <c r="A936" s="264" t="n"/>
    </row>
    <row r="937">
      <c r="A937" s="259" t="n"/>
    </row>
    <row r="938">
      <c r="A938" s="258" t="n"/>
    </row>
    <row r="939">
      <c r="A939" s="257" t="n"/>
    </row>
    <row r="940">
      <c r="A940" s="262" t="n"/>
    </row>
    <row r="941">
      <c r="A941" s="261" t="n"/>
    </row>
    <row r="942">
      <c r="A942" s="260" t="n"/>
    </row>
    <row r="943">
      <c r="A943" s="263" t="n"/>
    </row>
    <row r="944">
      <c r="A944" s="264" t="n"/>
    </row>
    <row r="945">
      <c r="A945" s="259" t="n"/>
    </row>
    <row r="946">
      <c r="A946" s="258" t="n"/>
    </row>
    <row r="947">
      <c r="A947" s="257" t="n"/>
    </row>
    <row r="948">
      <c r="A948" s="262" t="n"/>
    </row>
    <row r="949">
      <c r="A949" s="261" t="n"/>
    </row>
    <row r="950">
      <c r="A950" s="260" t="n"/>
    </row>
    <row r="951">
      <c r="A951" s="263" t="n"/>
    </row>
    <row r="952">
      <c r="A952" s="264" t="n"/>
    </row>
    <row r="954">
      <c r="A954" s="259" t="n"/>
    </row>
    <row r="955">
      <c r="A955" s="258" t="n"/>
    </row>
    <row r="956">
      <c r="A956" s="257" t="n"/>
    </row>
    <row r="957">
      <c r="A957" s="262" t="n"/>
    </row>
    <row r="958">
      <c r="A958" s="261" t="n"/>
    </row>
    <row r="959">
      <c r="A959" s="260" t="n"/>
    </row>
    <row r="960">
      <c r="A960" s="263" t="n"/>
    </row>
    <row r="961">
      <c r="A961" s="264" t="n"/>
    </row>
    <row r="962">
      <c r="A962" s="259" t="n"/>
    </row>
    <row r="963">
      <c r="A963" s="258" t="n"/>
    </row>
    <row r="964">
      <c r="A964" s="257" t="n"/>
    </row>
    <row r="965">
      <c r="A965" s="262" t="n"/>
    </row>
    <row r="966">
      <c r="A966" s="261" t="n"/>
    </row>
    <row r="967">
      <c r="A967" s="260" t="n"/>
    </row>
    <row r="968">
      <c r="A968" s="263" t="n"/>
    </row>
    <row r="969">
      <c r="A969" s="264" t="n"/>
    </row>
    <row r="970">
      <c r="A970" s="259" t="n"/>
    </row>
    <row r="971">
      <c r="A971" s="258" t="n"/>
    </row>
    <row r="972">
      <c r="A972" s="257" t="n"/>
    </row>
    <row r="973">
      <c r="A973" s="262" t="n"/>
    </row>
    <row r="974">
      <c r="A974" s="261" t="n"/>
    </row>
    <row r="975">
      <c r="A975" s="260" t="n"/>
    </row>
    <row r="976">
      <c r="A976" s="263" t="n"/>
    </row>
    <row r="977">
      <c r="A977" s="264" t="n"/>
    </row>
    <row r="978">
      <c r="A978" s="259" t="n"/>
    </row>
    <row r="979">
      <c r="A979" s="258" t="n"/>
    </row>
    <row r="980">
      <c r="A980" s="257" t="n"/>
    </row>
    <row r="981">
      <c r="A981" s="262" t="n"/>
    </row>
    <row r="982">
      <c r="A982" s="261" t="n"/>
    </row>
    <row r="983">
      <c r="A983" s="260" t="n"/>
    </row>
    <row r="984">
      <c r="A984" s="263" t="n"/>
    </row>
    <row r="985">
      <c r="A985" s="264" t="n"/>
    </row>
    <row r="987">
      <c r="A987" s="259" t="n"/>
    </row>
    <row r="988">
      <c r="A988" s="258" t="n"/>
    </row>
    <row r="989">
      <c r="A989" s="257" t="n"/>
    </row>
    <row r="990">
      <c r="A990" s="262" t="n"/>
    </row>
    <row r="991">
      <c r="A991" s="261" t="n"/>
    </row>
    <row r="992">
      <c r="A992" s="260" t="n"/>
    </row>
    <row r="993">
      <c r="A993" s="263" t="n"/>
    </row>
    <row r="994">
      <c r="A994" s="264" t="n"/>
    </row>
    <row r="995">
      <c r="A995" s="259" t="n"/>
    </row>
    <row r="996">
      <c r="A996" s="258" t="n"/>
    </row>
    <row r="997">
      <c r="A997" s="257" t="n"/>
    </row>
    <row r="998">
      <c r="A998" s="262" t="n"/>
    </row>
    <row r="999">
      <c r="A999" s="261" t="n"/>
    </row>
    <row r="1000">
      <c r="A1000" s="260" t="n"/>
    </row>
    <row r="1001">
      <c r="A1001" s="263" t="n"/>
    </row>
    <row r="1002">
      <c r="A1002" s="264" t="n"/>
    </row>
    <row r="1003">
      <c r="A1003" s="259" t="n"/>
    </row>
    <row r="1004">
      <c r="A1004" s="258" t="n"/>
    </row>
    <row r="1005">
      <c r="A1005" s="257" t="n"/>
    </row>
    <row r="1006">
      <c r="A1006" s="262" t="n"/>
    </row>
    <row r="1007">
      <c r="A1007" s="261" t="n"/>
    </row>
    <row r="1008">
      <c r="A1008" s="260" t="n"/>
    </row>
    <row r="1009">
      <c r="A1009" s="263" t="n"/>
    </row>
    <row r="1010">
      <c r="A1010" s="264" t="n"/>
    </row>
    <row r="1011">
      <c r="A1011" s="259" t="n"/>
    </row>
    <row r="1012">
      <c r="A1012" s="258" t="n"/>
    </row>
    <row r="1013">
      <c r="A1013" s="257" t="n"/>
    </row>
    <row r="1014">
      <c r="A1014" s="262" t="n"/>
    </row>
    <row r="1015">
      <c r="A1015" s="261" t="n"/>
    </row>
    <row r="1016">
      <c r="A1016" s="260" t="n"/>
    </row>
    <row r="1017">
      <c r="A1017" s="263" t="n"/>
    </row>
    <row r="1018">
      <c r="A1018" s="264" t="n"/>
    </row>
    <row r="1020">
      <c r="A1020" s="259" t="n"/>
    </row>
    <row r="1021">
      <c r="A1021" s="258" t="n"/>
    </row>
    <row r="1022">
      <c r="A1022" s="257" t="n"/>
    </row>
    <row r="1023">
      <c r="A1023" s="262" t="n"/>
    </row>
    <row r="1024">
      <c r="A1024" s="261" t="n"/>
    </row>
    <row r="1025">
      <c r="A1025" s="260" t="n"/>
    </row>
    <row r="1026">
      <c r="A1026" s="263" t="n"/>
    </row>
    <row r="1027">
      <c r="A1027" s="264" t="n"/>
    </row>
    <row r="1028">
      <c r="A1028" s="259" t="n"/>
    </row>
    <row r="1029">
      <c r="A1029" s="258" t="n"/>
    </row>
    <row r="1030">
      <c r="A1030" s="257" t="n"/>
    </row>
    <row r="1031">
      <c r="A1031" s="262" t="n"/>
    </row>
    <row r="1032">
      <c r="A1032" s="261" t="n"/>
    </row>
    <row r="1033">
      <c r="A1033" s="260" t="n"/>
    </row>
    <row r="1034">
      <c r="A1034" s="263" t="n"/>
    </row>
    <row r="1035">
      <c r="A1035" s="264" t="n"/>
    </row>
    <row r="1036">
      <c r="A1036" s="259" t="n"/>
    </row>
    <row r="1037">
      <c r="A1037" s="258" t="n"/>
    </row>
    <row r="1038">
      <c r="A1038" s="257" t="n"/>
    </row>
    <row r="1039">
      <c r="A1039" s="262" t="n"/>
    </row>
    <row r="1040">
      <c r="A1040" s="261" t="n"/>
    </row>
    <row r="1041">
      <c r="A1041" s="260" t="n"/>
    </row>
    <row r="1042">
      <c r="A1042" s="263" t="n"/>
    </row>
    <row r="1043">
      <c r="A1043" s="264" t="n"/>
    </row>
    <row r="1044">
      <c r="A1044" s="259" t="n"/>
    </row>
    <row r="1045">
      <c r="A1045" s="258" t="n"/>
    </row>
    <row r="1046">
      <c r="A1046" s="257" t="n"/>
    </row>
    <row r="1047">
      <c r="A1047" s="262" t="n"/>
    </row>
    <row r="1048">
      <c r="A1048" s="261" t="n"/>
    </row>
    <row r="1049">
      <c r="A1049" s="260" t="n"/>
    </row>
    <row r="1050">
      <c r="A1050" s="263" t="n"/>
    </row>
    <row r="1051">
      <c r="A1051" s="264" t="n"/>
    </row>
    <row r="1053">
      <c r="A1053" s="259" t="n"/>
    </row>
    <row r="1054">
      <c r="A1054" s="258" t="n"/>
    </row>
    <row r="1055">
      <c r="A1055" s="257" t="n"/>
    </row>
    <row r="1056">
      <c r="A1056" s="262" t="n"/>
    </row>
    <row r="1057">
      <c r="A1057" s="261" t="n"/>
    </row>
    <row r="1058">
      <c r="A1058" s="260" t="n"/>
    </row>
    <row r="1059">
      <c r="A1059" s="263" t="n"/>
    </row>
    <row r="1060">
      <c r="A1060" s="264" t="n"/>
    </row>
    <row r="1061">
      <c r="A1061" s="259" t="n"/>
    </row>
    <row r="1062">
      <c r="A1062" s="258" t="n"/>
    </row>
    <row r="1063">
      <c r="A1063" s="257" t="n"/>
    </row>
    <row r="1064">
      <c r="A1064" s="262" t="n"/>
    </row>
    <row r="1065">
      <c r="A1065" s="261" t="n"/>
    </row>
    <row r="1066">
      <c r="A1066" s="260" t="n"/>
    </row>
    <row r="1067">
      <c r="A1067" s="263" t="n"/>
    </row>
    <row r="1068">
      <c r="A1068" s="264" t="n"/>
    </row>
  </sheetData>
  <dataValidations count="5">
    <dataValidation sqref="K13:K19" showDropDown="0" showInputMessage="1" showErrorMessage="1" allowBlank="1" type="list">
      <formula1>REASON</formula1>
    </dataValidation>
    <dataValidation sqref="L13:L19" showDropDown="0" showInputMessage="1" showErrorMessage="1" allowBlank="1" type="list">
      <formula1>ACTIONS</formula1>
    </dataValidation>
    <dataValidation sqref="J13:J19" showDropDown="0" showInputMessage="1" showErrorMessage="1" allowBlank="1" type="list">
      <formula1>PURPOSE</formula1>
    </dataValidation>
    <dataValidation sqref="N13:N19" showDropDown="0" showInputMessage="1" showErrorMessage="1" allowBlank="1" type="list">
      <formula1>RULING</formula1>
    </dataValidation>
    <dataValidation sqref="C13:C1078" showDropDown="0" showInputMessage="1" showErrorMessage="1" allowBlank="1" errorTitle="Invalid suit number" error="Choose a suit number from the dropdown list." type="list">
      <formula1>_xlfn.ANCHORARRAY($Q$3)</formula1>
    </dataValidation>
  </dataValidations>
  <hyperlinks>
    <hyperlink ref="C1" location="'HOME PAGE'!A1" display="HOME"/>
    <hyperlink ref="D1" location="'CASE REGISTER'!A1" display="CASE REGISTER"/>
    <hyperlink ref="E1" location="'AUTO CAUSE LIST'!A1" display="AUTO CAUSE LIST"/>
    <hyperlink ref="F1" location="INSIGHTS!A1" display="INSIGHTS"/>
    <hyperlink ref="G1" location="'COUNSEL DIRECTORY'!A1" tooltip="COUNSEL DIRECTORY" display="'COUNSEL DIRECTORY'!A1"/>
    <hyperlink ref="H1" location="'QUARTER REPORT'!A1" tooltip="QUARTERLY REPORTS" display="'QUARTER REPORT'!A1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4:AQ99"/>
  <sheetViews>
    <sheetView topLeftCell="A86" workbookViewId="0">
      <selection activeCell="A91" sqref="A91"/>
    </sheetView>
  </sheetViews>
  <sheetFormatPr baseColWidth="8" defaultRowHeight="15"/>
  <cols>
    <col width="39.01171875" bestFit="1" customWidth="1" min="1" max="1"/>
    <col width="39.01171875" bestFit="1" customWidth="1" min="3" max="3"/>
    <col width="35.109375" bestFit="1" customWidth="1" min="5" max="5"/>
    <col width="24.34765625" bestFit="1" customWidth="1" min="7" max="7"/>
    <col width="16.41015625" customWidth="1" min="9" max="9"/>
    <col width="13.1796875" bestFit="1" customWidth="1" min="11" max="11"/>
    <col width="18.96484375" bestFit="1" customWidth="1" min="15" max="15"/>
    <col width="13.71875" bestFit="1" customWidth="1" min="17" max="17"/>
    <col width="15.33203125" bestFit="1" customWidth="1" min="19" max="19"/>
    <col width="21.38671875" bestFit="1" customWidth="1" min="25" max="25"/>
    <col width="28.11328125" bestFit="1" customWidth="1" min="27" max="27"/>
    <col width="32.5546875" bestFit="1" customWidth="1" min="29" max="29"/>
    <col width="14.2578125" bestFit="1" customWidth="1" min="31" max="31"/>
    <col width="20.984375" bestFit="1" customWidth="1" min="33" max="33"/>
    <col width="23.67578125" bestFit="1" customWidth="1" min="41" max="41"/>
    <col width="14.52734375" bestFit="1" customWidth="1" min="43" max="43"/>
  </cols>
  <sheetData>
    <row r="4" ht="18.75" customHeight="1" thickBot="1">
      <c r="B4" s="6" t="inlineStr">
        <is>
          <t xml:space="preserve">🏠      Home </t>
        </is>
      </c>
      <c r="C4" s="15" t="n"/>
    </row>
    <row r="5" ht="15.75" customHeight="1" thickTop="1">
      <c r="B5" t="inlineStr">
        <is>
          <t>LIST</t>
        </is>
      </c>
    </row>
    <row r="7" ht="20.25" customHeight="1" thickBot="1">
      <c r="A7" s="4" t="inlineStr">
        <is>
          <t>COURT</t>
        </is>
      </c>
      <c r="C7" s="111" t="inlineStr">
        <is>
          <t>CASETYPE</t>
        </is>
      </c>
      <c r="E7" s="111" t="inlineStr">
        <is>
          <t>WRIT</t>
        </is>
      </c>
      <c r="G7" s="111" t="inlineStr">
        <is>
          <t>CRIMINAL_MATTER</t>
        </is>
      </c>
      <c r="I7" s="111" t="inlineStr">
        <is>
          <t>FHR</t>
        </is>
      </c>
      <c r="K7" s="4" t="inlineStr">
        <is>
          <t>PETITION</t>
        </is>
      </c>
      <c r="M7" s="4" t="inlineStr">
        <is>
          <t>MOTION</t>
        </is>
      </c>
      <c r="O7" s="4" t="inlineStr">
        <is>
          <t>APPEAL</t>
        </is>
      </c>
      <c r="Q7" s="27" t="inlineStr">
        <is>
          <t>OTHERS</t>
        </is>
      </c>
      <c r="U7" s="4" t="inlineStr">
        <is>
          <t>STRUCK_OUT</t>
        </is>
      </c>
      <c r="V7" s="4" t="n"/>
      <c r="X7" s="4" t="inlineStr">
        <is>
          <t>TENANCY</t>
        </is>
      </c>
      <c r="Z7" s="4" t="inlineStr">
        <is>
          <t>UNDEFENDED_LIST</t>
        </is>
      </c>
      <c r="AA7" s="4" t="n"/>
      <c r="AB7" s="4" t="n"/>
      <c r="AC7" s="3" t="inlineStr">
        <is>
          <t>ORIGINATING_SUMMONS</t>
        </is>
      </c>
      <c r="AE7" s="4" t="inlineStr">
        <is>
          <t>GARNISHEE</t>
        </is>
      </c>
      <c r="AG7" s="4" t="inlineStr">
        <is>
          <t>FHR</t>
        </is>
      </c>
      <c r="AH7" s="7" t="n"/>
      <c r="AO7" t="inlineStr">
        <is>
          <t>MISDEMEANOR</t>
        </is>
      </c>
      <c r="AQ7" t="inlineStr">
        <is>
          <t>INFRINGEMENT</t>
        </is>
      </c>
    </row>
    <row r="8" ht="16.5" customHeight="1" thickTop="1">
      <c r="A8" t="inlineStr">
        <is>
          <t>SUPREME COURT</t>
        </is>
      </c>
      <c r="C8" s="109" t="inlineStr">
        <is>
          <t>APPEAL</t>
        </is>
      </c>
      <c r="E8" s="109" t="inlineStr">
        <is>
          <t>CONTRACT</t>
        </is>
      </c>
      <c r="G8" s="109" t="inlineStr">
        <is>
          <t>FELONY</t>
        </is>
      </c>
      <c r="I8" s="109" t="inlineStr">
        <is>
          <t>BREACH</t>
        </is>
      </c>
      <c r="K8" t="inlineStr">
        <is>
          <t>MATRIMONIAL</t>
        </is>
      </c>
      <c r="M8" t="inlineStr">
        <is>
          <t>BAIL</t>
        </is>
      </c>
      <c r="O8" t="inlineStr">
        <is>
          <t>MAGISTRATE_COURT</t>
        </is>
      </c>
      <c r="Q8" s="109" t="inlineStr">
        <is>
          <t>DAMAGES</t>
        </is>
      </c>
      <c r="U8" t="inlineStr">
        <is>
          <t>RELIST</t>
        </is>
      </c>
      <c r="X8" t="inlineStr">
        <is>
          <t>POSSESSION</t>
        </is>
      </c>
      <c r="Z8" t="inlineStr">
        <is>
          <t>LIQUIDATED DAMAGES</t>
        </is>
      </c>
      <c r="AC8" t="inlineStr">
        <is>
          <t>POSSESSION</t>
        </is>
      </c>
      <c r="AH8" s="8" t="n"/>
      <c r="AO8" t="inlineStr">
        <is>
          <t>ASSAULT</t>
        </is>
      </c>
      <c r="AQ8" t="inlineStr">
        <is>
          <t>ENFORCEMENT</t>
        </is>
      </c>
    </row>
    <row r="9" ht="15.75" customHeight="1">
      <c r="A9" t="inlineStr">
        <is>
          <t>COURT OF APPEAL</t>
        </is>
      </c>
      <c r="C9" s="110" t="inlineStr">
        <is>
          <t>CRIMINAL_MATTER</t>
        </is>
      </c>
      <c r="E9" s="110" t="inlineStr">
        <is>
          <t>LAND</t>
        </is>
      </c>
      <c r="G9" s="108" t="inlineStr">
        <is>
          <t>MISDEMEANOR</t>
        </is>
      </c>
      <c r="I9" s="110" t="inlineStr">
        <is>
          <t>ENFORCEMENT</t>
        </is>
      </c>
      <c r="M9" t="inlineStr">
        <is>
          <t>LEAVE</t>
        </is>
      </c>
      <c r="O9" t="inlineStr">
        <is>
          <t>MOTION</t>
        </is>
      </c>
      <c r="Q9" s="110" t="inlineStr">
        <is>
          <t>INJUNCTIONS</t>
        </is>
      </c>
      <c r="U9" t="inlineStr">
        <is>
          <t>TO BE RELISTED</t>
        </is>
      </c>
      <c r="X9" t="inlineStr">
        <is>
          <t>MESNE PROFIT</t>
        </is>
      </c>
      <c r="AC9" t="inlineStr">
        <is>
          <t>INTERPRETATION</t>
        </is>
      </c>
      <c r="AH9" s="9" t="n"/>
      <c r="AO9" t="inlineStr">
        <is>
          <t>AFFRAY</t>
        </is>
      </c>
    </row>
    <row r="10" ht="15.75" customHeight="1">
      <c r="A10" t="inlineStr">
        <is>
          <t>FEDERAL HIGH COURT</t>
        </is>
      </c>
      <c r="C10" s="109" t="inlineStr">
        <is>
          <t>FHR</t>
        </is>
      </c>
      <c r="E10" s="109" t="inlineStr">
        <is>
          <t>OTHERS</t>
        </is>
      </c>
      <c r="I10" s="107" t="inlineStr">
        <is>
          <t>INFRINGEMENT</t>
        </is>
      </c>
      <c r="Q10" s="107" t="inlineStr">
        <is>
          <t>MANDAMUS</t>
        </is>
      </c>
      <c r="AH10" s="8" t="n"/>
      <c r="AO10" t="inlineStr">
        <is>
          <t>OBTAINING</t>
        </is>
      </c>
    </row>
    <row r="11" ht="15.75" customHeight="1">
      <c r="A11" t="inlineStr">
        <is>
          <t>HIGH COURT</t>
        </is>
      </c>
      <c r="C11" s="110" t="inlineStr">
        <is>
          <t>MOTION</t>
        </is>
      </c>
      <c r="E11" s="110" t="inlineStr">
        <is>
          <t>TORT</t>
        </is>
      </c>
      <c r="O11" s="4" t="inlineStr">
        <is>
          <t>MAGISTRATE_COURT</t>
        </is>
      </c>
      <c r="AC11" s="3" t="inlineStr">
        <is>
          <t>POSSESSION</t>
        </is>
      </c>
      <c r="AH11" s="10" t="n"/>
      <c r="AO11" t="inlineStr">
        <is>
          <t>STEALING</t>
        </is>
      </c>
    </row>
    <row r="12" ht="15.75" customHeight="1">
      <c r="A12" t="inlineStr">
        <is>
          <t>NICN</t>
        </is>
      </c>
      <c r="C12" s="109" t="inlineStr">
        <is>
          <t>ORIGINATING_SUMMONS</t>
        </is>
      </c>
      <c r="E12" s="107" t="inlineStr">
        <is>
          <t>UNDEFENDED_LIST</t>
        </is>
      </c>
      <c r="O12" t="inlineStr">
        <is>
          <t>CIVIL APPEAL</t>
        </is>
      </c>
      <c r="AC12" t="inlineStr">
        <is>
          <t>LAND</t>
        </is>
      </c>
      <c r="AH12" s="8" t="n"/>
    </row>
    <row r="13" ht="15.75" customHeight="1">
      <c r="A13" t="inlineStr">
        <is>
          <t>MAGISTRATE COURT</t>
        </is>
      </c>
      <c r="C13" s="110" t="inlineStr">
        <is>
          <t>PETITION</t>
        </is>
      </c>
      <c r="O13" t="inlineStr">
        <is>
          <t>CRIMINAL APPEAL</t>
        </is>
      </c>
      <c r="AH13" s="11" t="n"/>
    </row>
    <row r="14" ht="15.75" customHeight="1">
      <c r="A14" t="inlineStr">
        <is>
          <t>FAMILY</t>
        </is>
      </c>
      <c r="C14" s="107" t="inlineStr">
        <is>
          <t>WRIT</t>
        </is>
      </c>
      <c r="AC14" s="3" t="inlineStr">
        <is>
          <t>INTERPRETATION</t>
        </is>
      </c>
      <c r="AH14" s="11" t="n"/>
      <c r="AO14" s="4" t="inlineStr">
        <is>
          <t>STATUS</t>
        </is>
      </c>
      <c r="AQ14" s="4" t="inlineStr">
        <is>
          <t>HEARING</t>
        </is>
      </c>
    </row>
    <row r="15" ht="15.75" customHeight="1">
      <c r="A15" t="inlineStr">
        <is>
          <t>MULTIDOOR</t>
        </is>
      </c>
      <c r="AC15" t="inlineStr">
        <is>
          <t>DOCUMENT</t>
        </is>
      </c>
      <c r="AH15" s="11" t="n"/>
      <c r="AO15" t="inlineStr">
        <is>
          <t>ACTIVE</t>
        </is>
      </c>
      <c r="AQ15" t="inlineStr">
        <is>
          <t>CLAIMANT</t>
        </is>
      </c>
    </row>
    <row r="16" ht="15.75" customHeight="1">
      <c r="AC16" t="inlineStr">
        <is>
          <t>JUDGMENT</t>
        </is>
      </c>
      <c r="AH16" s="11" t="n"/>
      <c r="AO16" t="inlineStr">
        <is>
          <t>CONCLUDED</t>
        </is>
      </c>
      <c r="AQ16" t="inlineStr">
        <is>
          <t>DEFENDANT</t>
        </is>
      </c>
    </row>
    <row r="17" ht="15.75" customHeight="1">
      <c r="P17" t="inlineStr">
        <is>
          <t>REPORT_OF_SETTLEMENT</t>
        </is>
      </c>
      <c r="R17" s="4" t="n"/>
      <c r="Y17" s="4" t="inlineStr">
        <is>
          <t>MOTIONS</t>
        </is>
      </c>
      <c r="AA17" s="4" t="inlineStr">
        <is>
          <t>OUTCOME</t>
        </is>
      </c>
      <c r="AC17" t="inlineStr">
        <is>
          <t>LAW</t>
        </is>
      </c>
      <c r="AE17" s="4" t="inlineStr">
        <is>
          <t>DISPOSED_OFF</t>
        </is>
      </c>
      <c r="AG17" s="4" t="inlineStr">
        <is>
          <t>ADJOURNED_SINE_DIE</t>
        </is>
      </c>
      <c r="AH17" s="11" t="n"/>
      <c r="AO17" t="inlineStr">
        <is>
          <t>DORMANT</t>
        </is>
      </c>
      <c r="AQ17" t="inlineStr">
        <is>
          <t>ADOPTION</t>
        </is>
      </c>
    </row>
    <row r="18" ht="15.75" customHeight="1">
      <c r="P18" t="inlineStr">
        <is>
          <t>SETTLED</t>
        </is>
      </c>
      <c r="Y18" t="inlineStr">
        <is>
          <t>EXTENTION OF TIME</t>
        </is>
      </c>
      <c r="AA18" t="inlineStr">
        <is>
          <t>HEARD</t>
        </is>
      </c>
      <c r="AE18" t="inlineStr">
        <is>
          <t>ENDED</t>
        </is>
      </c>
      <c r="AG18" t="inlineStr">
        <is>
          <t>PENDING APPEAL</t>
        </is>
      </c>
      <c r="AH18" s="11" t="n"/>
      <c r="AQ18" t="inlineStr">
        <is>
          <t>MOTION</t>
        </is>
      </c>
    </row>
    <row r="19" ht="15.75" customHeight="1">
      <c r="A19" s="4" t="inlineStr">
        <is>
          <t>CIVIL_SUIT</t>
        </is>
      </c>
      <c r="C19" s="111" t="inlineStr">
        <is>
          <t>LAND</t>
        </is>
      </c>
      <c r="E19" s="111" t="inlineStr">
        <is>
          <t>CONTRACT</t>
        </is>
      </c>
      <c r="G19" s="111" t="inlineStr">
        <is>
          <t>TORT</t>
        </is>
      </c>
      <c r="I19" s="111" t="inlineStr">
        <is>
          <t>MATRIMONIAL</t>
        </is>
      </c>
      <c r="K19" s="4" t="inlineStr">
        <is>
          <t>LABOUR</t>
        </is>
      </c>
      <c r="M19" s="4" t="inlineStr">
        <is>
          <t>BAIL</t>
        </is>
      </c>
      <c r="P19" t="inlineStr">
        <is>
          <t>NOT SETTLED</t>
        </is>
      </c>
      <c r="Y19" t="inlineStr">
        <is>
          <t>AMENDMENT</t>
        </is>
      </c>
      <c r="AA19" s="109" t="inlineStr">
        <is>
          <t>ARRAINMENT</t>
        </is>
      </c>
      <c r="AE19" t="inlineStr">
        <is>
          <t>APPEAL</t>
        </is>
      </c>
      <c r="AH19" s="11" t="n"/>
      <c r="AQ19" t="inlineStr">
        <is>
          <t>PROSECUTION</t>
        </is>
      </c>
    </row>
    <row r="20" ht="15.75" customHeight="1">
      <c r="C20" s="109" t="inlineStr">
        <is>
          <t>DECLARATION OF TITLE</t>
        </is>
      </c>
      <c r="E20" s="109" t="inlineStr">
        <is>
          <t>BREACH</t>
        </is>
      </c>
      <c r="G20" s="109" t="inlineStr">
        <is>
          <t>ASSAULT</t>
        </is>
      </c>
      <c r="I20" s="109" t="inlineStr">
        <is>
          <t>ANNULMENT</t>
        </is>
      </c>
      <c r="K20" t="inlineStr">
        <is>
          <t>TERMINATION</t>
        </is>
      </c>
      <c r="M20" t="inlineStr">
        <is>
          <t>BAIL PENDING TRIAL</t>
        </is>
      </c>
      <c r="Y20" t="inlineStr">
        <is>
          <t>LEAVE</t>
        </is>
      </c>
      <c r="AA20" s="110" t="inlineStr">
        <is>
          <t>BAIL GRANTED</t>
        </is>
      </c>
      <c r="AH20" s="11" t="n"/>
      <c r="AQ20" t="inlineStr">
        <is>
          <t>SETTLED OUT OF COURT</t>
        </is>
      </c>
    </row>
    <row r="21" ht="15.75" customHeight="1">
      <c r="C21" s="110" t="inlineStr">
        <is>
          <t>INJUNCTION</t>
        </is>
      </c>
      <c r="E21" s="110" t="inlineStr">
        <is>
          <t>DAMAGES</t>
        </is>
      </c>
      <c r="G21" s="110" t="inlineStr">
        <is>
          <t>CONVERSION</t>
        </is>
      </c>
      <c r="I21" s="110" t="inlineStr">
        <is>
          <t>DISSOLUTION</t>
        </is>
      </c>
      <c r="K21" t="inlineStr">
        <is>
          <t>DISMISSAL</t>
        </is>
      </c>
      <c r="M21" t="inlineStr">
        <is>
          <t>BAIL PENDING APPEAL</t>
        </is>
      </c>
      <c r="Y21" t="inlineStr">
        <is>
          <t>JOINDER</t>
        </is>
      </c>
      <c r="AA21" s="109" t="inlineStr">
        <is>
          <t>CLAIMANT CLOSED CASE</t>
        </is>
      </c>
      <c r="AE21" t="inlineStr">
        <is>
          <t>Cause_list</t>
        </is>
      </c>
      <c r="AG21" t="inlineStr">
        <is>
          <t>OTHER_DATE</t>
        </is>
      </c>
      <c r="AH21" s="11" t="n"/>
      <c r="AO21" s="3" t="inlineStr">
        <is>
          <t>ACTIONS</t>
        </is>
      </c>
      <c r="AQ21" s="4" t="inlineStr">
        <is>
          <t>CONCLUDED</t>
        </is>
      </c>
    </row>
    <row r="22" ht="15.75" customHeight="1">
      <c r="C22" s="109" t="inlineStr">
        <is>
          <t>POSSESSION</t>
        </is>
      </c>
      <c r="E22" s="107" t="inlineStr">
        <is>
          <t>SPECIFIC PERFORMANCE</t>
        </is>
      </c>
      <c r="G22" s="109" t="inlineStr">
        <is>
          <t>DEFAMATION</t>
        </is>
      </c>
      <c r="I22" s="109" t="inlineStr">
        <is>
          <t>MAINTENANCE</t>
        </is>
      </c>
      <c r="K22" t="inlineStr">
        <is>
          <t>SUSPENSION</t>
        </is>
      </c>
      <c r="Y22" t="inlineStr">
        <is>
          <t>SET ASIDE</t>
        </is>
      </c>
      <c r="AA22" s="110" t="inlineStr">
        <is>
          <t>CLAIMANT COUNSEL ABSENT</t>
        </is>
      </c>
      <c r="AE22" t="inlineStr">
        <is>
          <t>TODAY</t>
        </is>
      </c>
      <c r="AG22" t="inlineStr">
        <is>
          <t>ENTER DATE &gt;&gt;&gt;</t>
        </is>
      </c>
      <c r="AH22" s="11" t="n"/>
      <c r="AO22" t="inlineStr">
        <is>
          <t>ADDRESS</t>
        </is>
      </c>
      <c r="AQ22" t="inlineStr">
        <is>
          <t>STRUCK OUT</t>
        </is>
      </c>
    </row>
    <row r="23" ht="15.75" customHeight="1">
      <c r="C23" s="108" t="inlineStr">
        <is>
          <t>TRESPASS</t>
        </is>
      </c>
      <c r="G23" s="110" t="inlineStr">
        <is>
          <t>FALSE IMPRISONMENT</t>
        </is>
      </c>
      <c r="I23" s="108" t="inlineStr">
        <is>
          <t>SEPARATION</t>
        </is>
      </c>
      <c r="Y23" t="inlineStr">
        <is>
          <t>RULING</t>
        </is>
      </c>
      <c r="AA23" s="109" t="inlineStr">
        <is>
          <t>COURT NOT SITTING</t>
        </is>
      </c>
      <c r="AE23" t="inlineStr">
        <is>
          <t>OTHER DATE</t>
        </is>
      </c>
      <c r="AH23" s="11" t="n"/>
      <c r="AO23" t="inlineStr">
        <is>
          <t>APPEAL</t>
        </is>
      </c>
      <c r="AQ23" t="inlineStr">
        <is>
          <t>JUDGMENT</t>
        </is>
      </c>
    </row>
    <row r="24" ht="15.75" customHeight="1">
      <c r="G24" s="109" t="inlineStr">
        <is>
          <t>MALICIOUS PROSECUTION</t>
        </is>
      </c>
      <c r="Y24" t="inlineStr">
        <is>
          <t>STAY OF PROCEEDINGS</t>
        </is>
      </c>
      <c r="AA24" s="110" t="inlineStr">
        <is>
          <t>DEFENDANT COUNSEL ABSENT</t>
        </is>
      </c>
      <c r="AH24" s="11" t="n"/>
      <c r="AO24" t="inlineStr">
        <is>
          <t>APPLICATION FOR BAIL</t>
        </is>
      </c>
      <c r="AQ24" t="inlineStr">
        <is>
          <t>SETTLED</t>
        </is>
      </c>
    </row>
    <row r="25" ht="15.75" customHeight="1">
      <c r="G25" s="110" t="inlineStr">
        <is>
          <t>NEGLIENCE</t>
        </is>
      </c>
      <c r="J25" s="111" t="inlineStr">
        <is>
          <t>PLEA</t>
        </is>
      </c>
      <c r="Y25" t="inlineStr">
        <is>
          <t>STAY OF EXECUTION</t>
        </is>
      </c>
      <c r="AA25" s="109" t="inlineStr">
        <is>
          <t>DISCONTINUED</t>
        </is>
      </c>
      <c r="AE25" t="inlineStr">
        <is>
          <t>TODAY</t>
        </is>
      </c>
      <c r="AH25" s="11" t="n"/>
      <c r="AO25" t="inlineStr">
        <is>
          <t>CONSENT JUDGMENT</t>
        </is>
      </c>
      <c r="AQ25" t="inlineStr">
        <is>
          <t>DISCONTINUED</t>
        </is>
      </c>
    </row>
    <row r="26" ht="15.75" customHeight="1">
      <c r="C26" s="4" t="inlineStr">
        <is>
          <t>NATURE</t>
        </is>
      </c>
      <c r="G26" s="107" t="inlineStr">
        <is>
          <t>NUISANCE</t>
        </is>
      </c>
      <c r="J26" s="109" t="inlineStr">
        <is>
          <t>DEFENDANT ABSENT</t>
        </is>
      </c>
      <c r="Q26" s="4" t="inlineStr">
        <is>
          <t>DISTRIBUTION</t>
        </is>
      </c>
      <c r="S26" s="4" t="inlineStr">
        <is>
          <t>LOWER COURTS</t>
        </is>
      </c>
      <c r="U26" s="4" t="inlineStr">
        <is>
          <t>APPELLATE</t>
        </is>
      </c>
      <c r="W26" s="4" t="inlineStr">
        <is>
          <t>RULING</t>
        </is>
      </c>
      <c r="AA26" s="110" t="inlineStr">
        <is>
          <t>FINAL ADDRESSES ADOPTED</t>
        </is>
      </c>
      <c r="AE26" s="5" t="n">
        <v>46220</v>
      </c>
      <c r="AH26" s="11" t="n"/>
      <c r="AO26" t="inlineStr">
        <is>
          <t>DEFENCE</t>
        </is>
      </c>
    </row>
    <row r="27" ht="15.75" customHeight="1">
      <c r="C27" t="inlineStr">
        <is>
          <t>LAND</t>
        </is>
      </c>
      <c r="J27" s="108" t="inlineStr">
        <is>
          <t>TAKEN</t>
        </is>
      </c>
      <c r="Q27" t="inlineStr">
        <is>
          <t xml:space="preserve">LOWER </t>
        </is>
      </c>
      <c r="S27" t="inlineStr">
        <is>
          <t>HIGH COURT</t>
        </is>
      </c>
      <c r="U27" t="inlineStr">
        <is>
          <t>COURT OF APPEAL</t>
        </is>
      </c>
      <c r="W27" t="inlineStr">
        <is>
          <t>NOT READY</t>
        </is>
      </c>
      <c r="AA27" s="109" t="inlineStr">
        <is>
          <t>JUDGMENT DELIVERED</t>
        </is>
      </c>
      <c r="AH27" s="11" t="n"/>
      <c r="AO27" t="inlineStr">
        <is>
          <t>HEARING</t>
        </is>
      </c>
    </row>
    <row r="28" ht="15.75" customHeight="1">
      <c r="C28" t="inlineStr">
        <is>
          <t>CONTRACT</t>
        </is>
      </c>
      <c r="G28" s="27" t="inlineStr">
        <is>
          <t>PURPOSE</t>
        </is>
      </c>
      <c r="Q28" t="inlineStr">
        <is>
          <t xml:space="preserve">APPELLATE </t>
        </is>
      </c>
      <c r="S28" t="inlineStr">
        <is>
          <t>MAGISTRATE COURT</t>
        </is>
      </c>
      <c r="U28" t="inlineStr">
        <is>
          <t>SUPREME COURT</t>
        </is>
      </c>
      <c r="W28" t="inlineStr">
        <is>
          <t>DELIVERED</t>
        </is>
      </c>
      <c r="AA28" s="110" t="inlineStr">
        <is>
          <t>JUDGMENT NOT READY</t>
        </is>
      </c>
      <c r="AC28" s="111" t="inlineStr">
        <is>
          <t>MISDEMEANOR</t>
        </is>
      </c>
      <c r="AE28" s="111" t="inlineStr">
        <is>
          <t>FELONY</t>
        </is>
      </c>
      <c r="AH28" s="11" t="n"/>
      <c r="AO28" t="inlineStr">
        <is>
          <t>JUDGMENT</t>
        </is>
      </c>
    </row>
    <row r="29" ht="15.75" customHeight="1">
      <c r="C29" t="inlineStr">
        <is>
          <t>MATRIMONIAL</t>
        </is>
      </c>
      <c r="G29" s="109" t="inlineStr">
        <is>
          <t>APPEAL</t>
        </is>
      </c>
      <c r="S29" t="inlineStr">
        <is>
          <t>FEDERAL HIGH COURT</t>
        </is>
      </c>
      <c r="AA29" s="109" t="inlineStr">
        <is>
          <t>LETTER</t>
        </is>
      </c>
      <c r="AC29" s="109" t="inlineStr">
        <is>
          <t>COMMON ASSAULT</t>
        </is>
      </c>
      <c r="AE29" s="109" t="inlineStr">
        <is>
          <t>ARSON</t>
        </is>
      </c>
      <c r="AH29" s="11" t="n"/>
      <c r="AO29" t="inlineStr">
        <is>
          <t>JUDGMENT NOT READY</t>
        </is>
      </c>
    </row>
    <row r="30" ht="15.75" customHeight="1">
      <c r="C30" t="inlineStr">
        <is>
          <t>TORT</t>
        </is>
      </c>
      <c r="G30" s="110" t="inlineStr">
        <is>
          <t>APPLICATION FOR BAIL</t>
        </is>
      </c>
      <c r="S30" t="inlineStr">
        <is>
          <t>NATIONAL INDUSTRIAL COURT</t>
        </is>
      </c>
      <c r="Y30" s="4" t="inlineStr">
        <is>
          <t>P.O</t>
        </is>
      </c>
      <c r="AA30" s="110" t="inlineStr">
        <is>
          <t>MOTION MOVED</t>
        </is>
      </c>
      <c r="AB30" s="4" t="n"/>
      <c r="AC30" s="110" t="inlineStr">
        <is>
          <t>DISORDERLY CONDUCT</t>
        </is>
      </c>
      <c r="AE30" s="110" t="inlineStr">
        <is>
          <t>ASSAULT OCCASIONING HARM</t>
        </is>
      </c>
      <c r="AH30" s="11" t="n"/>
      <c r="AO30" t="inlineStr">
        <is>
          <t>MENTION</t>
        </is>
      </c>
    </row>
    <row r="31" ht="15.75" customHeight="1">
      <c r="C31" t="inlineStr">
        <is>
          <t>LABOUR</t>
        </is>
      </c>
      <c r="G31" s="109" t="inlineStr">
        <is>
          <t>FOR ADDRESS</t>
        </is>
      </c>
      <c r="Y31" t="inlineStr">
        <is>
          <t>MOVE</t>
        </is>
      </c>
      <c r="AA31" s="109" t="inlineStr">
        <is>
          <t>NO PROOF OF SERVICE</t>
        </is>
      </c>
      <c r="AC31" s="109" t="inlineStr">
        <is>
          <t>FRAUDULENT MISREPRESENTATION</t>
        </is>
      </c>
      <c r="AE31" s="109" t="inlineStr">
        <is>
          <t>ATTEMPTED ROBBERY</t>
        </is>
      </c>
      <c r="AH31" s="8" t="n"/>
      <c r="AO31" t="inlineStr">
        <is>
          <t>MOTION</t>
        </is>
      </c>
    </row>
    <row r="32" ht="15.75" customHeight="1">
      <c r="C32" t="inlineStr">
        <is>
          <t>TENANCY</t>
        </is>
      </c>
      <c r="G32" s="110" t="inlineStr">
        <is>
          <t>FOR DEFENCE</t>
        </is>
      </c>
      <c r="AA32" s="110" t="inlineStr">
        <is>
          <t>NOT MENTIONED</t>
        </is>
      </c>
      <c r="AC32" s="110" t="inlineStr">
        <is>
          <t>INDECENCY</t>
        </is>
      </c>
      <c r="AE32" s="110" t="inlineStr">
        <is>
          <t>CHEATING</t>
        </is>
      </c>
      <c r="AH32" s="8" t="n"/>
      <c r="AO32" t="inlineStr">
        <is>
          <t>P.O</t>
        </is>
      </c>
    </row>
    <row r="33" ht="15.75" customHeight="1">
      <c r="C33" t="inlineStr">
        <is>
          <t>MOTION</t>
        </is>
      </c>
      <c r="G33" s="109" t="inlineStr">
        <is>
          <t>FOR HEARING</t>
        </is>
      </c>
      <c r="Q33" s="4" t="inlineStr">
        <is>
          <t>ADDRESS</t>
        </is>
      </c>
      <c r="S33" s="4" t="inlineStr">
        <is>
          <t>PTC</t>
        </is>
      </c>
      <c r="U33" s="4" t="inlineStr">
        <is>
          <t>POST_JUDGMENT</t>
        </is>
      </c>
      <c r="W33" t="inlineStr">
        <is>
          <t>GARNISHEE</t>
        </is>
      </c>
      <c r="AA33" s="109" t="inlineStr">
        <is>
          <t>PARTY NOT READY</t>
        </is>
      </c>
      <c r="AC33" s="109" t="inlineStr">
        <is>
          <t>PETTY THEFT</t>
        </is>
      </c>
      <c r="AE33" s="109" t="inlineStr">
        <is>
          <t>CONCEALMENT OF TREASON</t>
        </is>
      </c>
      <c r="AH33" s="8" t="n"/>
      <c r="AO33" t="inlineStr">
        <is>
          <t>PLEA</t>
        </is>
      </c>
    </row>
    <row r="34" ht="15.75" customHeight="1">
      <c r="C34" t="inlineStr">
        <is>
          <t>UNDEFENDED_LIST</t>
        </is>
      </c>
      <c r="G34" s="110" t="inlineStr">
        <is>
          <t>FOR JUDGMENT</t>
        </is>
      </c>
      <c r="Q34" t="inlineStr">
        <is>
          <t>ADOPTION</t>
        </is>
      </c>
      <c r="S34" t="inlineStr">
        <is>
          <t>CONCLUDED</t>
        </is>
      </c>
      <c r="U34" t="inlineStr">
        <is>
          <t>MOTION FOR STAY</t>
        </is>
      </c>
      <c r="W34" t="inlineStr">
        <is>
          <t>EX_PARTE</t>
        </is>
      </c>
      <c r="AA34" s="110" t="inlineStr">
        <is>
          <t>RULING DELIVERED</t>
        </is>
      </c>
      <c r="AC34" s="110" t="inlineStr">
        <is>
          <t>RIOT</t>
        </is>
      </c>
      <c r="AE34" s="110" t="inlineStr">
        <is>
          <t>CONSPIRACY TO COMMIT ROBBERY</t>
        </is>
      </c>
      <c r="AH34" s="8" t="n"/>
      <c r="AO34" t="inlineStr">
        <is>
          <t>POST_JUDGMENT</t>
        </is>
      </c>
    </row>
    <row r="35" ht="15.75" customHeight="1">
      <c r="C35" t="inlineStr">
        <is>
          <t>GARNISHEE</t>
        </is>
      </c>
      <c r="G35" s="109" t="inlineStr">
        <is>
          <t>FOR MENTION</t>
        </is>
      </c>
      <c r="S35" t="inlineStr">
        <is>
          <t>TO BE CONTINUED</t>
        </is>
      </c>
      <c r="U35" t="inlineStr">
        <is>
          <t>GARNISHEE</t>
        </is>
      </c>
      <c r="W35" t="inlineStr">
        <is>
          <t>SHOW_CAUSE</t>
        </is>
      </c>
      <c r="AA35" s="109" t="inlineStr">
        <is>
          <t>RULING NOT READY</t>
        </is>
      </c>
      <c r="AC35" s="109" t="inlineStr">
        <is>
          <t>SUICIDE</t>
        </is>
      </c>
      <c r="AE35" s="109" t="inlineStr">
        <is>
          <t>CYBERSTALKING</t>
        </is>
      </c>
      <c r="AH35" s="8" t="n"/>
      <c r="AO35" t="inlineStr">
        <is>
          <t>PTC</t>
        </is>
      </c>
    </row>
    <row r="36" ht="15.75" customHeight="1">
      <c r="G36" s="110" t="inlineStr">
        <is>
          <t>FOR MOTION</t>
        </is>
      </c>
      <c r="W36" t="inlineStr">
        <is>
          <t>DECREE ABSOLUTE</t>
        </is>
      </c>
      <c r="AA36" s="110" t="inlineStr">
        <is>
          <t>STRUCK OUT</t>
        </is>
      </c>
      <c r="AC36" s="110" t="inlineStr">
        <is>
          <t>THREATS</t>
        </is>
      </c>
      <c r="AE36" s="110" t="inlineStr">
        <is>
          <t>FORGERY</t>
        </is>
      </c>
      <c r="AH36" s="8" t="n"/>
      <c r="AO36" t="inlineStr">
        <is>
          <t>REPORT_OF_SETTLEMENT</t>
        </is>
      </c>
    </row>
    <row r="37" ht="16.5" customHeight="1" thickBot="1">
      <c r="A37" s="21" t="inlineStr">
        <is>
          <t>INSIGHTS</t>
        </is>
      </c>
      <c r="C37" s="45" t="inlineStr">
        <is>
          <t>QUARTERLIES</t>
        </is>
      </c>
      <c r="G37" s="109" t="inlineStr">
        <is>
          <t>FOR PLEA</t>
        </is>
      </c>
      <c r="W37" t="inlineStr">
        <is>
          <t>CREDITOR</t>
        </is>
      </c>
      <c r="AA37" s="109" t="inlineStr">
        <is>
          <t>WITHDRAWN</t>
        </is>
      </c>
      <c r="AC37" s="109" t="inlineStr">
        <is>
          <t>UNLAWFUL ASSEMBLY</t>
        </is>
      </c>
      <c r="AE37" s="109" t="inlineStr">
        <is>
          <t>HOUSEBREAKING/BURGLARY</t>
        </is>
      </c>
      <c r="AH37" s="12" t="n"/>
      <c r="AO37" t="inlineStr">
        <is>
          <t>RULING</t>
        </is>
      </c>
    </row>
    <row r="38" ht="16.5" customHeight="1" thickTop="1">
      <c r="A38" s="22" t="inlineStr">
        <is>
          <t>ACTIVE CASES</t>
        </is>
      </c>
      <c r="C38" s="25" t="inlineStr">
        <is>
          <t>JUDGMENTS DELVERED PER QUARTER</t>
        </is>
      </c>
      <c r="E38" s="27" t="inlineStr">
        <is>
          <t>PENDING BAIL APPLICATIONS</t>
        </is>
      </c>
      <c r="G38" s="110" t="inlineStr">
        <is>
          <t>FOR PTC</t>
        </is>
      </c>
      <c r="W38" t="inlineStr">
        <is>
          <t>DEBTOR</t>
        </is>
      </c>
      <c r="AA38" s="108" t="inlineStr">
        <is>
          <t>WITNESS ABSENT</t>
        </is>
      </c>
      <c r="AC38" s="108" t="inlineStr">
        <is>
          <t>WILFUL DAMAGE TO PROPERTY</t>
        </is>
      </c>
      <c r="AE38" s="110" t="inlineStr">
        <is>
          <t>IMPERSONATION</t>
        </is>
      </c>
      <c r="AH38" s="11" t="n"/>
      <c r="AO38" t="inlineStr">
        <is>
          <t>TRIAL</t>
        </is>
      </c>
    </row>
    <row r="39" ht="15.75" customHeight="1">
      <c r="A39" s="22" t="inlineStr">
        <is>
          <t>CRIMINAL CASES</t>
        </is>
      </c>
      <c r="C39" s="26" t="inlineStr">
        <is>
          <t>RULINGS DELIVERED PER QUARTER</t>
        </is>
      </c>
      <c r="E39" s="27" t="inlineStr">
        <is>
          <t>CASES UNDERGOING PTC</t>
        </is>
      </c>
      <c r="G39" s="109" t="inlineStr">
        <is>
          <t>FOR REPORT_OF_SETTLEMENT</t>
        </is>
      </c>
      <c r="AE39" s="109" t="inlineStr">
        <is>
          <t>INCITING TO MUTINY</t>
        </is>
      </c>
      <c r="AH39" s="11" t="n"/>
      <c r="AO39" t="inlineStr">
        <is>
          <t>XX OF WITNESS</t>
        </is>
      </c>
    </row>
    <row r="40" ht="16.5" customHeight="1" thickBot="1">
      <c r="A40" s="23" t="inlineStr">
        <is>
          <t>CIVIL CASES</t>
        </is>
      </c>
      <c r="C40" s="39" t="inlineStr">
        <is>
          <t>CASES ASSIGNED PER QUARTER</t>
        </is>
      </c>
      <c r="E40" s="28" t="inlineStr">
        <is>
          <t>CASES FOR HEARING</t>
        </is>
      </c>
      <c r="G40" s="110" t="inlineStr">
        <is>
          <t>FOR RULING</t>
        </is>
      </c>
      <c r="AE40" s="110" t="inlineStr">
        <is>
          <t>INTIGATION OF INVASION</t>
        </is>
      </c>
      <c r="AH40" s="11" t="n"/>
    </row>
    <row r="41" ht="16.5" customHeight="1" thickTop="1">
      <c r="A41" s="24" t="inlineStr">
        <is>
          <t>FUNDAMENTAL RIGHT CASES</t>
        </is>
      </c>
      <c r="C41" t="inlineStr">
        <is>
          <t>AVERAGE LIFE SPAN OF CASES</t>
        </is>
      </c>
      <c r="E41" s="28" t="inlineStr">
        <is>
          <t>CASES OF DEFENCE</t>
        </is>
      </c>
      <c r="G41" s="109" t="inlineStr">
        <is>
          <t>FOR TRIAL</t>
        </is>
      </c>
      <c r="AE41" s="109" t="inlineStr">
        <is>
          <t>KIDNAPPING</t>
        </is>
      </c>
      <c r="AH41" s="11" t="n"/>
    </row>
    <row r="42">
      <c r="A42" s="40" t="inlineStr">
        <is>
          <t>CONCLUDED CASES</t>
        </is>
      </c>
      <c r="E42" s="29" t="inlineStr">
        <is>
          <t>CASES FOR ADOPTION OF ADDRESSES</t>
        </is>
      </c>
      <c r="G42" s="110" t="inlineStr">
        <is>
          <t>P.O</t>
        </is>
      </c>
      <c r="AE42" s="110" t="inlineStr">
        <is>
          <t>MANSLAUGHTER</t>
        </is>
      </c>
      <c r="AH42" s="13" t="n"/>
    </row>
    <row r="43">
      <c r="A43" t="inlineStr">
        <is>
          <t>MATRIMONIAL CASES</t>
        </is>
      </c>
      <c r="E43" s="29" t="inlineStr">
        <is>
          <t>AVERAGE LIFE SPAN OF CASES</t>
        </is>
      </c>
      <c r="G43" s="109" t="inlineStr">
        <is>
          <t>POST_JUDGMENT</t>
        </is>
      </c>
      <c r="AC43" s="4" t="inlineStr">
        <is>
          <t>LEAVE</t>
        </is>
      </c>
      <c r="AE43" s="109" t="inlineStr">
        <is>
          <t>MURDER</t>
        </is>
      </c>
      <c r="AH43" s="13" t="n"/>
    </row>
    <row r="44" ht="15.75" customHeight="1">
      <c r="G44" s="108" t="inlineStr">
        <is>
          <t>XX OF WITNESS</t>
        </is>
      </c>
      <c r="AC44" t="inlineStr">
        <is>
          <t>STAY OF EXECUTION</t>
        </is>
      </c>
      <c r="AE44" s="110" t="inlineStr">
        <is>
          <t>OBTAINING BY FALSE PRETENCES</t>
        </is>
      </c>
      <c r="AH44" s="8" t="n"/>
    </row>
    <row r="45" ht="15.75" customHeight="1">
      <c r="AE45" s="109" t="inlineStr">
        <is>
          <t>PROMOTING INTER COMMUNAL WAR</t>
        </is>
      </c>
      <c r="AH45" s="8" t="n"/>
    </row>
    <row r="46" ht="15.75" customHeight="1" thickBot="1">
      <c r="A46" t="inlineStr">
        <is>
          <t>Category              Icon    Description</t>
        </is>
      </c>
      <c r="C46" s="213" t="inlineStr">
        <is>
          <t>JUDGES2</t>
        </is>
      </c>
      <c r="E46" s="3" t="inlineStr">
        <is>
          <t>QUARTER</t>
        </is>
      </c>
      <c r="G46" s="2">
        <f t="array" ref="G46:G65">_xlfn.SEQUENCE(20,1,YEAR(TODAY())-10,1)</f>
        <v/>
      </c>
      <c r="AE46" s="110" t="inlineStr">
        <is>
          <t>PUBLISHING DEFAMATORY MATTER</t>
        </is>
      </c>
      <c r="AH46" s="13" t="n"/>
    </row>
    <row r="47" ht="15.75" customHeight="1" thickTop="1">
      <c r="A47" t="inlineStr">
        <is>
          <t>-----------------------------------------------------</t>
        </is>
      </c>
      <c r="C47" t="inlineStr">
        <is>
          <t>HON. JUST. S. C. AMADI (CJ)</t>
        </is>
      </c>
      <c r="E47" t="inlineStr">
        <is>
          <t>Q1</t>
        </is>
      </c>
      <c r="G47">
        <f/>
        <v/>
      </c>
      <c r="AE47" s="109" t="inlineStr">
        <is>
          <t>RAPE</t>
        </is>
      </c>
      <c r="AH47" s="13" t="n"/>
    </row>
    <row r="48">
      <c r="A48" t="inlineStr">
        <is>
          <t>Court &amp; Case</t>
        </is>
      </c>
      <c r="C48" t="inlineStr">
        <is>
          <t>HON. JUST. J. N. AKPUGHUNUM</t>
        </is>
      </c>
      <c r="E48" t="inlineStr">
        <is>
          <t>Q2</t>
        </is>
      </c>
      <c r="G48">
        <f/>
        <v/>
      </c>
      <c r="AE48" s="110" t="inlineStr">
        <is>
          <t>RECEIVING</t>
        </is>
      </c>
      <c r="AH48" s="13" t="n"/>
    </row>
    <row r="49">
      <c r="A49" t="inlineStr">
        <is>
          <t>⚖️                    ⚖️      Justice / Court</t>
        </is>
      </c>
      <c r="C49" t="inlineStr">
        <is>
          <t>HON. JUST. E. TEETITO</t>
        </is>
      </c>
      <c r="E49" t="inlineStr">
        <is>
          <t>Q3</t>
        </is>
      </c>
      <c r="G49">
        <f/>
        <v/>
      </c>
      <c r="AE49" s="109" t="inlineStr">
        <is>
          <t>ROBBERY</t>
        </is>
      </c>
    </row>
    <row r="50">
      <c r="A50" t="inlineStr">
        <is>
          <t>🏛️                    🏛️      Court Building</t>
        </is>
      </c>
      <c r="C50" t="inlineStr">
        <is>
          <t>HON. JUST. B. G. DIEPIRI</t>
        </is>
      </c>
      <c r="E50" t="inlineStr">
        <is>
          <t>Q4</t>
        </is>
      </c>
      <c r="G50">
        <f/>
        <v/>
      </c>
      <c r="AE50" s="110" t="inlineStr">
        <is>
          <t>STEALING</t>
        </is>
      </c>
    </row>
    <row r="51">
      <c r="A51" t="inlineStr">
        <is>
          <t>📄                    📄      Case File / Status</t>
        </is>
      </c>
      <c r="C51" t="inlineStr">
        <is>
          <t>HON. JUST. A. CHEYCHE</t>
        </is>
      </c>
      <c r="G51">
        <f/>
        <v/>
      </c>
      <c r="AE51" s="109" t="inlineStr">
        <is>
          <t>TREASON</t>
        </is>
      </c>
    </row>
    <row r="52">
      <c r="A52" t="inlineStr">
        <is>
          <t>📘                    📘      Legal Document</t>
        </is>
      </c>
      <c r="C52" t="inlineStr">
        <is>
          <t>HON. JUST. T. S. OJI</t>
        </is>
      </c>
      <c r="E52" s="3" t="inlineStr">
        <is>
          <t>CURRENT CASE AGE</t>
        </is>
      </c>
      <c r="G52">
        <f/>
        <v/>
      </c>
      <c r="AE52" s="110" t="inlineStr">
        <is>
          <t>TREASONABLE FELONY</t>
        </is>
      </c>
    </row>
    <row r="53">
      <c r="A53" t="inlineStr">
        <is>
          <t>📑                    📑      Case Bundle / Dossier</t>
        </is>
      </c>
      <c r="C53" t="inlineStr">
        <is>
          <t>HON. JUST. S. BIAMBO</t>
        </is>
      </c>
      <c r="E53" t="inlineStr">
        <is>
          <t>0 - 3 YEARS</t>
        </is>
      </c>
      <c r="G53">
        <f/>
        <v/>
      </c>
      <c r="AE53" s="107" t="inlineStr">
        <is>
          <t>UNLAWFUL POSSESSION</t>
        </is>
      </c>
    </row>
    <row r="54">
      <c r="C54" t="inlineStr">
        <is>
          <t>HON. JUST. E. N. THOMPSON</t>
        </is>
      </c>
      <c r="E54" t="inlineStr">
        <is>
          <t>4 - 6 YEARS</t>
        </is>
      </c>
      <c r="G54">
        <f/>
        <v/>
      </c>
    </row>
    <row r="55">
      <c r="A55" t="inlineStr">
        <is>
          <t>People</t>
        </is>
      </c>
      <c r="C55" t="inlineStr">
        <is>
          <t>HON. JUST. S.H. APRIOKU</t>
        </is>
      </c>
      <c r="E55" t="inlineStr">
        <is>
          <t>ABOVE 7 YEARS</t>
        </is>
      </c>
      <c r="G55">
        <f/>
        <v/>
      </c>
    </row>
    <row r="56">
      <c r="A56" t="inlineStr">
        <is>
          <t>👥                    👥      Parties</t>
        </is>
      </c>
      <c r="C56" t="inlineStr">
        <is>
          <t>HON. JUST. L.L. NYORDEE</t>
        </is>
      </c>
      <c r="G56">
        <f/>
        <v/>
      </c>
    </row>
    <row r="57">
      <c r="A57" t="inlineStr">
        <is>
          <t>👤                    👤      Single Person</t>
        </is>
      </c>
      <c r="C57" t="inlineStr">
        <is>
          <t>HON. JUST. M.W. DANAGOGO</t>
        </is>
      </c>
      <c r="G57">
        <f/>
        <v/>
      </c>
    </row>
    <row r="58">
      <c r="A58" t="inlineStr">
        <is>
          <t>🧑‍⚖️                  🧑‍⚖️     Judge</t>
        </is>
      </c>
      <c r="C58" t="inlineStr">
        <is>
          <t>HON. JUST. M.O. OPARA</t>
        </is>
      </c>
      <c r="E58" s="3" t="inlineStr">
        <is>
          <t>DIVISIONS</t>
        </is>
      </c>
      <c r="G58">
        <f/>
        <v/>
      </c>
    </row>
    <row r="59">
      <c r="A59" t="inlineStr">
        <is>
          <t>🧑‍💼                  🧑‍💼     Lawyer / Counsel</t>
        </is>
      </c>
      <c r="C59" t="inlineStr">
        <is>
          <t>HON. I. R. MINAKIRI</t>
        </is>
      </c>
      <c r="E59" t="inlineStr">
        <is>
          <t>PORT HARCOURT</t>
        </is>
      </c>
      <c r="G59">
        <f/>
        <v/>
      </c>
    </row>
    <row r="60">
      <c r="C60" t="inlineStr">
        <is>
          <t>HON. C.K. DAPPA ADDO</t>
        </is>
      </c>
      <c r="E60" t="inlineStr">
        <is>
          <t>AHOADA</t>
        </is>
      </c>
      <c r="G60">
        <f/>
        <v/>
      </c>
    </row>
    <row r="61">
      <c r="A61" t="inlineStr">
        <is>
          <t>Dates &amp; Time</t>
        </is>
      </c>
      <c r="C61" t="inlineStr">
        <is>
          <t>HON. JUST. I. W. OBUZOR</t>
        </is>
      </c>
      <c r="E61" t="inlineStr">
        <is>
          <t>DEGEMA</t>
        </is>
      </c>
      <c r="G61">
        <f/>
        <v/>
      </c>
    </row>
    <row r="62">
      <c r="A62" t="inlineStr">
        <is>
          <t>📅                    📅      Next Date / Hearing Date</t>
        </is>
      </c>
      <c r="C62" t="inlineStr">
        <is>
          <t>HON. JUST. C. N. WALI</t>
        </is>
      </c>
      <c r="E62" t="inlineStr">
        <is>
          <t>NCHIA</t>
        </is>
      </c>
      <c r="G62">
        <f/>
        <v/>
      </c>
    </row>
    <row r="63">
      <c r="A63" t="inlineStr">
        <is>
          <t>🗓️                    🗓️      Calendar</t>
        </is>
      </c>
      <c r="C63" t="inlineStr">
        <is>
          <t>HON. JUST. H.J. DAGOGO JACK</t>
        </is>
      </c>
      <c r="E63" t="inlineStr">
        <is>
          <t>BORI</t>
        </is>
      </c>
      <c r="G63">
        <f/>
        <v/>
      </c>
    </row>
    <row r="64">
      <c r="A64" t="inlineStr">
        <is>
          <t>⏳                    ⏳      Days Remaining</t>
        </is>
      </c>
      <c r="C64" t="inlineStr">
        <is>
          <t>HON. JUST. I. WODI</t>
        </is>
      </c>
      <c r="E64" t="inlineStr">
        <is>
          <t>OMOKU</t>
        </is>
      </c>
      <c r="G64">
        <f/>
        <v/>
      </c>
    </row>
    <row r="65">
      <c r="A65" t="inlineStr">
        <is>
          <t>⌛                    ⌛      Time Passed</t>
        </is>
      </c>
      <c r="C65" t="inlineStr">
        <is>
          <t>HON. JUST. B.N.L. DEMUA</t>
        </is>
      </c>
      <c r="E65" t="inlineStr">
        <is>
          <t>ISIOKPO</t>
        </is>
      </c>
      <c r="G65">
        <f/>
        <v/>
      </c>
    </row>
    <row r="66">
      <c r="C66" t="inlineStr">
        <is>
          <t>HON. JUST. I.P.C. IGWE</t>
        </is>
      </c>
      <c r="E66" t="inlineStr">
        <is>
          <t>OKRIKA</t>
        </is>
      </c>
    </row>
    <row r="67">
      <c r="A67" t="inlineStr">
        <is>
          <t>Location</t>
        </is>
      </c>
      <c r="C67" t="inlineStr">
        <is>
          <t>HON. JUST. C.D. GREEN</t>
        </is>
      </c>
      <c r="E67" t="inlineStr">
        <is>
          <t>OHEHI</t>
        </is>
      </c>
    </row>
    <row r="68">
      <c r="A68" t="inlineStr">
        <is>
          <t>📍                    📍      Location / Venue</t>
        </is>
      </c>
      <c r="C68" t="inlineStr">
        <is>
          <t>HON. JUST. C. NWOGU</t>
        </is>
      </c>
      <c r="E68" t="inlineStr">
        <is>
          <t>EMUOHA</t>
        </is>
      </c>
    </row>
    <row r="69">
      <c r="A69" t="inlineStr">
        <is>
          <t>🧭                    🧭      Direction / Division</t>
        </is>
      </c>
      <c r="C69" t="inlineStr">
        <is>
          <t>HON. JUST. G.O. OLLOR</t>
        </is>
      </c>
      <c r="E69" t="inlineStr">
        <is>
          <t>OYIBGO</t>
        </is>
      </c>
    </row>
    <row r="70">
      <c r="A70" t="inlineStr">
        <is>
          <t>🌍                    🌍      Region / Jurisdiction</t>
        </is>
      </c>
      <c r="C70" t="inlineStr">
        <is>
          <t>HON. JUST. A.U. K. CHUKU</t>
        </is>
      </c>
      <c r="E70" t="inlineStr">
        <is>
          <t>BONNY</t>
        </is>
      </c>
    </row>
    <row r="71">
      <c r="C71" t="inlineStr">
        <is>
          <t>HON. JUST. F. A. FIBERESIMA</t>
        </is>
      </c>
      <c r="E71" t="inlineStr">
        <is>
          <t>TAI/ELEME</t>
        </is>
      </c>
    </row>
    <row r="72">
      <c r="A72" t="inlineStr">
        <is>
          <t>Status Indicators</t>
        </is>
      </c>
      <c r="C72" t="inlineStr">
        <is>
          <t>HON. JUST. M.A. CHUKWU</t>
        </is>
      </c>
    </row>
    <row r="73">
      <c r="A73" t="inlineStr">
        <is>
          <t>✔️                    ✔️      Completed / OK</t>
        </is>
      </c>
      <c r="C73" t="inlineStr">
        <is>
          <t>HON. JUST. L. NGBOR</t>
        </is>
      </c>
    </row>
    <row r="74">
      <c r="A74" t="inlineStr">
        <is>
          <t>❗                    ❗      Urgent</t>
        </is>
      </c>
      <c r="C74" t="inlineStr">
        <is>
          <t>HON. JUST. O. BEN-WHYTE</t>
        </is>
      </c>
    </row>
    <row r="75">
      <c r="A75" t="inlineStr">
        <is>
          <t>⚠️                    ⚠️      Warning / Attention</t>
        </is>
      </c>
      <c r="C75" t="inlineStr">
        <is>
          <t>HON. JUST. O. GBASAM</t>
        </is>
      </c>
    </row>
    <row r="76">
      <c r="A76" t="inlineStr">
        <is>
          <t>🔄                    🔄      Pending / Ongoing</t>
        </is>
      </c>
      <c r="C76" t="inlineStr">
        <is>
          <t>HON. JUST. S.S. POPNEN</t>
        </is>
      </c>
    </row>
    <row r="77">
      <c r="A77" t="inlineStr">
        <is>
          <t>🟢                    🟢      Active</t>
        </is>
      </c>
      <c r="C77" t="inlineStr">
        <is>
          <t>HON. JUST. D.G. KIO</t>
        </is>
      </c>
    </row>
    <row r="78">
      <c r="A78" t="inlineStr">
        <is>
          <t>🟡                    🟡      In Progress</t>
        </is>
      </c>
      <c r="C78" t="inlineStr">
        <is>
          <t>HON. JUST. C. ODILI</t>
        </is>
      </c>
    </row>
    <row r="79">
      <c r="A79" t="inlineStr">
        <is>
          <t>🔴                    🔴      Delayed / Problem</t>
        </is>
      </c>
      <c r="C79" t="inlineStr">
        <is>
          <t>HON. JUST. C. A. NSIRIM</t>
        </is>
      </c>
    </row>
    <row r="80">
      <c r="C80" t="inlineStr">
        <is>
          <t>HON. JUST. A. M. ORIYE</t>
        </is>
      </c>
    </row>
    <row r="81">
      <c r="A81" t="inlineStr">
        <is>
          <t>Navigation</t>
        </is>
      </c>
      <c r="C81" t="inlineStr">
        <is>
          <t>HON. JUST. C.I. ADANGO</t>
        </is>
      </c>
    </row>
    <row r="82">
      <c r="A82" t="inlineStr">
        <is>
          <t>⬅️                    ⬅️      Back</t>
        </is>
      </c>
      <c r="C82" t="inlineStr">
        <is>
          <t>HON. JUST. B. EMMANUEL-OKERE</t>
        </is>
      </c>
    </row>
    <row r="83">
      <c r="A83" t="inlineStr">
        <is>
          <t>➡️                    ➡️      Next</t>
        </is>
      </c>
      <c r="C83" t="inlineStr">
        <is>
          <t>HON. JUST. O. NWIBANI</t>
        </is>
      </c>
    </row>
    <row r="84">
      <c r="A84" t="inlineStr">
        <is>
          <t>🔍                    🔍      Search / Drill Down</t>
        </is>
      </c>
      <c r="C84" t="inlineStr">
        <is>
          <t>HON. JUST. P. C. MINI</t>
        </is>
      </c>
    </row>
    <row r="85">
      <c r="A85" t="inlineStr">
        <is>
          <t>🏠                    🏠      Home / Dashboard</t>
        </is>
      </c>
      <c r="C85" t="inlineStr">
        <is>
          <t>HON. JUST. D.J. STEPHENS</t>
        </is>
      </c>
    </row>
    <row r="86">
      <c r="C86" t="inlineStr">
        <is>
          <t>HON. JUST. FRANK ONYIRI</t>
        </is>
      </c>
    </row>
    <row r="87">
      <c r="C87" t="inlineStr">
        <is>
          <t>HON. JUST. V. C. UGOJI</t>
        </is>
      </c>
    </row>
    <row r="88">
      <c r="C88" t="inlineStr">
        <is>
          <t>HON. JUST. G. V.  OBOMANU</t>
        </is>
      </c>
    </row>
    <row r="89">
      <c r="A89">
        <f>_xlfn.UNICHAR(9993)</f>
        <v/>
      </c>
      <c r="C89" t="inlineStr">
        <is>
          <t>HON. JUST. R. C. OGUGUO</t>
        </is>
      </c>
    </row>
    <row r="90">
      <c r="A90">
        <f>_xlfn.UNICHAR(9742)</f>
        <v/>
      </c>
      <c r="C90" t="inlineStr">
        <is>
          <t>HON. JUST. A. E. FUBARA</t>
        </is>
      </c>
    </row>
    <row r="91">
      <c r="A91">
        <f>_xlfn.UNICHAR(128424)</f>
        <v/>
      </c>
      <c r="C91" t="inlineStr">
        <is>
          <t>HON. JUST. L. WIFA-ADEDIPE</t>
        </is>
      </c>
    </row>
    <row r="92">
      <c r="A92">
        <f>_xlfn.UNICHAR(128101)</f>
        <v/>
      </c>
      <c r="C92" t="inlineStr">
        <is>
          <t>HON. JUST. S. B. KOKPAN</t>
        </is>
      </c>
    </row>
    <row r="93">
      <c r="A93">
        <f>_xlfn.UNICHAR(128222)</f>
        <v/>
      </c>
      <c r="C93" t="inlineStr">
        <is>
          <t>HON. JUST. I.I. M. OBU</t>
        </is>
      </c>
    </row>
    <row r="94">
      <c r="A94">
        <f>_xlfn.UNICHAR(127968)</f>
        <v/>
      </c>
    </row>
    <row r="95">
      <c r="A95">
        <f>_xlfn.UNICHAR(128197)</f>
        <v/>
      </c>
    </row>
    <row r="96">
      <c r="A96">
        <f>_xlfn.UNICHAR(128209)</f>
        <v/>
      </c>
    </row>
    <row r="97">
      <c r="A97">
        <f>_xlfn.UNICHAR(128459)</f>
        <v/>
      </c>
    </row>
    <row r="98">
      <c r="A98">
        <f>_xlfn.UNICHAR(128269)</f>
        <v/>
      </c>
    </row>
    <row r="99">
      <c r="A99">
        <f>_xlfn.UNICHAR(128100)</f>
        <v/>
      </c>
    </row>
  </sheetData>
  <hyperlinks>
    <hyperlink ref="B4" location="'WELCOME PAGE'!A1" display="🏠                    🏠      Home / Dashbo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udo-ekong</dc:creator>
  <dcterms:created xsi:type="dcterms:W3CDTF">2021-09-18T19:53:51Z</dcterms:created>
  <dcterms:modified xsi:type="dcterms:W3CDTF">2026-08-16T19:00:06Z</dcterms:modified>
  <cp:lastModifiedBy>udo-ekong umo-udofia</cp:lastModifiedBy>
  <cp:lastPrinted>2026-07-31T14:50:26Z</cp:lastPrinted>
</cp:coreProperties>
</file>